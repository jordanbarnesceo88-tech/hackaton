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Сводка" state="visible" r:id="rId4"/>
    <sheet sheetId="2" name="Параметры объекта" state="visible" r:id="rId5"/>
    <sheet sheetId="3" name="Подбор" state="visible" r:id="rId6"/>
    <sheet sheetId="4" name="Состав оборудования" state="visible" r:id="rId7"/>
    <sheet sheetId="5" name="CAPEX" state="visible" r:id="rId8"/>
    <sheet sheetId="6" name="OPEX" state="visible" r:id="rId9"/>
    <sheet sheetId="7" name="Денежный поток" state="visible" r:id="rId10"/>
    <sheet sheetId="8" name="Чувствительность" state="visible" r:id="rId11"/>
    <sheet sheetId="9" name="Имитация" state="visible" r:id="rId12"/>
    <sheet sheetId="10" name="Нормативы и допущения" state="visible" r:id="rId13"/>
    <sheet sheetId="11" name="Источники" state="visible" r:id="rId14"/>
    <sheet sheetId="12" name="Журнал корректировок" state="visible" r:id="rId15"/>
    <sheet sheetId="13" name="О расчёте" state="visible" r:id="rId16"/>
    <sheet sheetId="14" name="Внедрение" state="visible" r:id="rId17"/>
  </sheets>
  <calcPr calcId="171027" fullCalcOnLoad="1"/>
</workbook>
</file>

<file path=xl/sharedStrings.xml><?xml version="1.0" encoding="utf-8"?>
<sst xmlns="http://schemas.openxmlformats.org/spreadsheetml/2006/main" count="2874" uniqueCount="1139">
  <si>
    <t>Предварительная оценка роботизации</t>
  </si>
  <si>
    <t>Проект</t>
  </si>
  <si>
    <t>Сдаточный пример - полный цикл мобильного стеллажа</t>
  </si>
  <si>
    <t>Тип объекта</t>
  </si>
  <si>
    <t>Склад</t>
  </si>
  <si>
    <t>Дата расчёта</t>
  </si>
  <si>
    <t>20.10.2026 13:24 МСК</t>
  </si>
  <si>
    <t>Модель расчёта</t>
  </si>
  <si>
    <t>tz-1.0.10</t>
  </si>
  <si>
    <t>Модель имитации</t>
  </si>
  <si>
    <t>sim-1.2.1</t>
  </si>
  <si>
    <t>Версия данных</t>
  </si>
  <si>
    <t>65bd4d39</t>
  </si>
  <si>
    <t>Вывод</t>
  </si>
  <si>
    <t>Найдены финансово перспективные кандидаты для целевой мощности по контролируемому тесту. Сравните их условия и ограничения номинального прогона перед выбором пилота.</t>
  </si>
  <si>
    <t>• Кандидат по модельной мощности «Покупка — Ronavi H1500»: 6 роботов, 2 зарядки; закрытые циклы 54,50 при цели 51,82 пал./ч. Номинальный прогон: PARTIAL, доставлено 51,50 пал./ч. NPV 4 079 992 ₽; финансовые критерии выполнены.</t>
  </si>
  <si>
    <t>• Кандидат по модельной мощности «Услуга (RaaS) — Ronavi H1500»: 6 роботов, 2 зарядки; закрытые циклы 54,50 при цели 51,82 пал./ч. Номинальный прогон: PARTIAL, доставлено 51,50 пал./ч. NPV 8 460 661 ₽; финансовые критерии выполнены.</t>
  </si>
  <si>
    <t>• Проверка мощности относится к объявленному тестовому профилю. Статус номинального прогона сохранён; выбор кандидата для пилота не является рекомендацией полного внедрения.</t>
  </si>
  <si>
    <t>• Наименьшая TCO за 5 лет — «Покупка — Ronavi H1500»: 173,3 млн ₽</t>
  </si>
  <si>
    <t>• Риск (высокий): Паспортная норма 90 пал./ч в 6,6 раза выше расчётной по циклу на вашем объекте (13,6 пал./ч при плече ≈129 м, оценка по планировке); принято меньшее значение</t>
  </si>
  <si>
    <t>• Риск (высокий): Проверка 3D: PARTIAL — Прогон завершён с ограничением: выходной поток.. Достигнуто 51,5 из 51,8 ед./ч, очередь 1; финансовый расчёт показан только для сравнения</t>
  </si>
  <si>
    <t>• Риск (средний): Доставка полного внедрения не оценена и не включена в CAPEX. Резерв непредвиденных расходов не подтверждает её стоимость; запросите условия поставки.</t>
  </si>
  <si>
    <t>• Сильнейший рычаг — «Доля автоматизируемого труда»: при 30–70 % NPV от -17,2 млн ₽ до 34,1 млн ₽</t>
  </si>
  <si>
    <t>• Покупка окупается (NPV ≥ 0) при зарплате от 106 659 ₽/мес</t>
  </si>
  <si>
    <t>Сравнение сценариев</t>
  </si>
  <si>
    <t>Показатель</t>
  </si>
  <si>
    <t>Как есть</t>
  </si>
  <si>
    <t>Покупка — Ronavi H1500</t>
  </si>
  <si>
    <t>Услуга (RaaS) — Ronavi H1500</t>
  </si>
  <si>
    <t>Состав оборудования</t>
  </si>
  <si>
    <t>текущий процесс, без роботов</t>
  </si>
  <si>
    <t>6 роботов · 2 зарядки · 1 пост диспетчера; оценочный годовой охват: 100 %; фиксированное число зарядок: 2; денежная реализация высвобождаемого ФОТ: 100 % (оценка; FTE отдельно); Доставка полного внедрения не оценена и не включена в CAPEX. Резерв непредвиденных расходов не подтверждает её стоимость; запросите условия поставки.</t>
  </si>
  <si>
    <t>CAPEX</t>
  </si>
  <si>
    <t>OPEX в год</t>
  </si>
  <si>
    <t>ФОТ процесса</t>
  </si>
  <si>
    <t>Годовой эффект</t>
  </si>
  <si>
    <t>—</t>
  </si>
  <si>
    <t>Окупаемость (простая)</t>
  </si>
  <si>
    <t>Интерпретация</t>
  </si>
  <si>
    <t>база сравнения</t>
  </si>
  <si>
    <t>средняя окупаемость (3–5 лет)</t>
  </si>
  <si>
    <t>быстрая окупаемость (менее 3 лет)</t>
  </si>
  <si>
    <t>ROI валовый</t>
  </si>
  <si>
    <t>ROI чистый</t>
  </si>
  <si>
    <t>NPV</t>
  </si>
  <si>
    <t>Дисконтированная окупаемость</t>
  </si>
  <si>
    <t>TCO за 5 лет</t>
  </si>
  <si>
    <t>Изменение TCO к «Как есть»</t>
  </si>
  <si>
    <t>Имитация</t>
  </si>
  <si>
    <t>Проверка 3D текущего входа: PARTIAL; Прогон завершён с ограничением: выходной поток.; 52 из 52 ед./ч; очередь 1; модель warehouse-dense-underlift-1.9.1</t>
  </si>
  <si>
    <t>Риски</t>
  </si>
  <si>
    <t>нет</t>
  </si>
  <si>
    <t>17: Паспортная норма 90 пал./ч в 6,6 раза выше расчётной по циклу на вашем объекте (13,6 пал./ч при плече ≈129 м, оценка по планировке); принято меньшее значение · Проверка 3D: PARTIAL — Прогон завершён с ограничением: выходной поток.. Достигнуто 51,5 из 51,8 ед./ч, очередь 1; финансовый расчёт показан только для сравнения · и ещё 15</t>
  </si>
  <si>
    <t>15: Паспортная норма 90 пал./ч в 6,6 раза выше расчётной по циклу на вашем объекте (13,6 пал./ч при плече ≈129 м, оценка по планировке); принято меньшее значение · Проверка 3D: PARTIAL — Прогон завершён с ограничением: выходной поток.. Достигнуто 51,5 из 51,8 ед./ч, очередь 1; финансовый расчёт показан только для сравнения · и ещё 13</t>
  </si>
  <si>
    <t>База сравнения</t>
  </si>
  <si>
    <t>Не подтверждена нагрузка; финансовый расчёт — только для сравнения</t>
  </si>
  <si>
    <t>ROI услуги (RaaS): ROI неинформативен при малом CAPEX — сравнивайте NPV и TCO</t>
  </si>
  <si>
    <t>Риски сценариев</t>
  </si>
  <si>
    <t>Сценарий</t>
  </si>
  <si>
    <t>Важность</t>
  </si>
  <si>
    <t>Код</t>
  </si>
  <si>
    <t>Описание</t>
  </si>
  <si>
    <t>высокий</t>
  </si>
  <si>
    <t>NORM_VS_CYCLE</t>
  </si>
  <si>
    <t>Паспортная норма 90 пал./ч в 6,6 раза выше расчётной по циклу на вашем объекте (13,6 пал./ч при плече ≈129 м, оценка по планировке); принято меньшее значение</t>
  </si>
  <si>
    <t>SIM_NOT_CONFIRMED</t>
  </si>
  <si>
    <t>Проверка 3D: PARTIAL — Прогон завершён с ограничением: выходной поток.. Достигнуто 51,5 из 51,8 ед./ч, очередь 1; финансовый расчёт показан только для сравнения</t>
  </si>
  <si>
    <t>средний</t>
  </si>
  <si>
    <t>LOGISTICS_NOT_ASSESSED</t>
  </si>
  <si>
    <t>Доставка полного внедрения не оценена и не включена в CAPEX. Резерв непредвиденных расходов не подтверждает её стоимость; запросите условия поставки.</t>
  </si>
  <si>
    <t>CASH_REALIZATION_ASSUMPTION</t>
  </si>
  <si>
    <t>Денежная реализация высвобождаемого ФОТ принята 100 %: это оценочное допущение, а не автоматическое сокращение штата; высвобождаемая трудоёмкость считается отдельно</t>
  </si>
  <si>
    <t>ANNUAL_COVERAGE_ASSUMPTION</t>
  </si>
  <si>
    <t>Годовой охват «Ronavi H1500 (грузоподъемность до 1 500 кг)» ограничен оценкой 100 % и аналитической мощностью парка; короткий 3D-прогон не доказывает годовой охват</t>
  </si>
  <si>
    <t>COST_PACKAGE_SCOPE_UNCONFIRMED</t>
  </si>
  <si>
    <t>«Ronavi H1500 (грузоподъемность до 1 500 кг)»: Не уточнено, входит ли лицензия RMS в стоимость внедрения и интеграции: опубликованные ориентиры пересекаются по составу; это риск повторного учёта, а не подтверждённый двойной счёт</t>
  </si>
  <si>
    <t>«Ronavi H1500 (грузоподъемность до 1 500 кг)»: Поддержка в опубликованном ориентире включает ремонт, а модель отдельно считает ремонт вне договора; проверьте исключения и состав сервиса</t>
  </si>
  <si>
    <t>SIGN_FLIP</t>
  </si>
  <si>
    <t>NPV меняет знак в пределах диапазона «Доля автоматизируемого труда» 30–70 %: от -21,6 млн ₽ до 29,8 млн ₽</t>
  </si>
  <si>
    <t>NPV меняет знак в пределах диапазона «Зарплата оператора погрузчика» 80 000–170 000 ₽/мес: от -8 153 060 ₽ до 19,4 млн ₽</t>
  </si>
  <si>
    <t>NPV меняет знак в пределах диапазона «Пиковый коэффициент» 1,2–2,5 коэф.: от 4 079 992 ₽ до -22,6 млн ₽</t>
  </si>
  <si>
    <t>NPV меняет знак в пределах диапазона «Горизонт расчёта» 3–10 лет: от -4 139 047 ₽ до 12,5 млн ₽</t>
  </si>
  <si>
    <t>NPV меняет знак в пределах диапазона «Цена робота» 2 160 000–3 240 000 ₽: от 8 200 284 ₽ до -40 300 ₽</t>
  </si>
  <si>
    <t>NPV меняет знак в пределах диапазона «Ставка дисконтирования» 8–20 % в год: от 6 901 327 ₽ до -393 584 ₽</t>
  </si>
  <si>
    <t>низкий</t>
  </si>
  <si>
    <t>LABOR_SHARE_ESTIMATE</t>
  </si>
  <si>
    <t>Доля труда до исключения нестандартных грузов (50 %) — оценка: в исходных данных её нет. Нестандарт исключается отдельно; уже очищенная доля роботизируемого времени сюда не подставляется. Типовой оценочный диапазон 30–70 % входит в анализ чувствительности; при выборе базы вне диапазона он расширяется до неё. Допустимость 0–100 % не означает измеренную неопределённость</t>
  </si>
  <si>
    <t>ROUTE_ESTIMATE</t>
  </si>
  <si>
    <t>Плечо перевозки ≈129 м оценено по типовой планировке из площади и ширины проходов, а не по чертежу объекта</t>
  </si>
  <si>
    <t>FLEET_COST_MISSING</t>
  </si>
  <si>
    <t>Стоимость существующего парка погрузчиков в исходных данных не задана — эффект занижен, оценка консервативна</t>
  </si>
  <si>
    <t>STAFF_REDUCTION</t>
  </si>
  <si>
    <t>Высвобождается ставок: 9,5 — учтите трудовые и социальные обязательства</t>
  </si>
  <si>
    <t>RAAS_PACKAGE_UNCONFIRMED</t>
  </si>
  <si>
    <t>«Ronavi H1500 (грузоподъемность до 1 500 кг)»: состав RaaS не задан. Прежняя модель предполагает включение ТО, лицензий, расходников, ремонта, АКБ, оборудования, зарядок, пусконаладки и инфраструктуры в подписку; это неподтверждённое допущение, не условие договора. Первый месяц принят равным регулярному; отдельная плата за платформу не оценена. Задайте явный состав услуг</t>
  </si>
  <si>
    <t>RAAS_LOWER_BOUND</t>
  </si>
  <si>
    <t>Ставка RaaS — нижняя граница «от»: 100 000 ₽/мес за робота «Ronavi H1500 (грузоподъемность до 1 500 кг)»; фактическая ставка может быть выше</t>
  </si>
  <si>
    <t>NPV меняет знак в пределах диапазона «Доля автоматизируемого труда» 30–70 %: от -17,2 млн ₽ до 34,1 млн ₽</t>
  </si>
  <si>
    <t>NPV меняет знак в пределах диапазона «Зарплата оператора погрузчика» 80 000–170 000 ₽/мес: от -3 772 391 ₽ до 23,8 млн ₽</t>
  </si>
  <si>
    <t>NPV меняет знак в пределах диапазона «Пиковый коэффициент» 1,2–2,5 коэф.: от 8 460 661 ₽ до -18,2 млн ₽</t>
  </si>
  <si>
    <t>RAAS_ROI_UNINFORMATIVE</t>
  </si>
  <si>
    <t>ROI неинформативен при малом CAPEX — сравнивайте NPV и TCO</t>
  </si>
  <si>
    <t>Результат расчёта — предварительная оценка, его нужно проверить при обследовании объекта.</t>
  </si>
  <si>
    <t>Раздел</t>
  </si>
  <si>
    <t>Параметр</t>
  </si>
  <si>
    <t>Значение</t>
  </si>
  <si>
    <t>Ед.</t>
  </si>
  <si>
    <t>По умолчанию</t>
  </si>
  <si>
    <t>Типовой диапазон</t>
  </si>
  <si>
    <t>Источник</t>
  </si>
  <si>
    <t>Замечания</t>
  </si>
  <si>
    <t>Общие параметры объекта</t>
  </si>
  <si>
    <t>Общая площадь склада</t>
  </si>
  <si>
    <t>м²</t>
  </si>
  <si>
    <t>10 000–100 000 м²</t>
  </si>
  <si>
    <t>Задано вами (базовое: 20 000)</t>
  </si>
  <si>
    <t/>
  </si>
  <si>
    <t>Площадь активной (роботизируемой) зоны</t>
  </si>
  <si>
    <t>5 000–50 000 м²</t>
  </si>
  <si>
    <t>Задано вами (базовое: 10 000)</t>
  </si>
  <si>
    <t>Высота потолков в зоне хранения</t>
  </si>
  <si>
    <t>м</t>
  </si>
  <si>
    <t>5–16 м</t>
  </si>
  <si>
    <t>Базовые данные, Демо-набор данных › Склад › стр. 6</t>
  </si>
  <si>
    <t>Количество этажей (мезонинов)</t>
  </si>
  <si>
    <t>шт.</t>
  </si>
  <si>
    <t>1–3 шт.</t>
  </si>
  <si>
    <t>Базовые данные, Демо-набор данных › Склад › стр. 7</t>
  </si>
  <si>
    <t>Ширина главных проездов</t>
  </si>
  <si>
    <t>2,5–6 м</t>
  </si>
  <si>
    <t>Базовые данные, Демо-набор данных › Склад › стр. 8</t>
  </si>
  <si>
    <t>Ширина рабочих проходов между стеллажами</t>
  </si>
  <si>
    <t>1,5–4,5 м</t>
  </si>
  <si>
    <t>Базовые данные, Демо-набор данных › Склад › стр. 9</t>
  </si>
  <si>
    <t>Тип напольного покрытия</t>
  </si>
  <si>
    <t>Промышленный бетон</t>
  </si>
  <si>
    <t>Базовые данные, Демо-набор данных › Склад › стр. 10</t>
  </si>
  <si>
    <t>Ровность пола (отклонение)</t>
  </si>
  <si>
    <t>мм/2 м</t>
  </si>
  <si>
    <t>1–8 мм/2 м</t>
  </si>
  <si>
    <t>Базовые данные, Демо-набор данных › Склад › стр. 11</t>
  </si>
  <si>
    <t>Режим работы</t>
  </si>
  <si>
    <t>Количество рабочих смен в сутки</t>
  </si>
  <si>
    <t>смен</t>
  </si>
  <si>
    <t>1–3 смен</t>
  </si>
  <si>
    <t>Базовые данные, Демо-набор данных › Склад › стр. 13</t>
  </si>
  <si>
    <t>Рабочих дней в году</t>
  </si>
  <si>
    <t>дн.</t>
  </si>
  <si>
    <t>365–365 дн.</t>
  </si>
  <si>
    <t>Базовые данные, Демо-набор данных › Склад › стр. 14</t>
  </si>
  <si>
    <t>Продолжительность смены</t>
  </si>
  <si>
    <t>ч</t>
  </si>
  <si>
    <t>10–11 ч</t>
  </si>
  <si>
    <t>Базовые данные, Демо-набор данных › Склад › стр. 15</t>
  </si>
  <si>
    <t>Пиковый коэффициент нагрузки</t>
  </si>
  <si>
    <t>1,2–2,5</t>
  </si>
  <si>
    <t>Задано вами (базовое: 1,5)</t>
  </si>
  <si>
    <t>Операции: объём и производительность</t>
  </si>
  <si>
    <t>Объём приёмки (поддоны/сутки)</t>
  </si>
  <si>
    <t>поддон/сут</t>
  </si>
  <si>
    <t>500–5 000 поддон/сут</t>
  </si>
  <si>
    <t>Задано вами (базовое: 1 000)</t>
  </si>
  <si>
    <t>Объём отгрузки (поддоны/сутки)</t>
  </si>
  <si>
    <t>Объём отбора (строк/сутки, всего)</t>
  </si>
  <si>
    <t>строк/сут</t>
  </si>
  <si>
    <t>50 000–500 000 строк/сут</t>
  </si>
  <si>
    <t>Базовые данные, Демо-набор данных › Склад › стр. 20</t>
  </si>
  <si>
    <t>Объём отбора (штук/сутки, всего)</t>
  </si>
  <si>
    <t>шт./сут</t>
  </si>
  <si>
    <t>75 000–750 000 шт./сут</t>
  </si>
  <si>
    <t>Базовые данные, Демо-набор данных › Склад › стр. 21</t>
  </si>
  <si>
    <t>Доля мелкоштучного отбора (piece-pick)</t>
  </si>
  <si>
    <t>%</t>
  </si>
  <si>
    <t>10–80 %</t>
  </si>
  <si>
    <t>Базовые данные, Демо-набор данных › Склад › стр. 22</t>
  </si>
  <si>
    <t>Количество SKU (активных)</t>
  </si>
  <si>
    <t>SKU</t>
  </si>
  <si>
    <t>1 000–10 000 SKU</t>
  </si>
  <si>
    <t>Базовые данные, Демо-набор данных › Склад › стр. 23</t>
  </si>
  <si>
    <t>Доля SKU с быстрым оборотом (A-класс)</t>
  </si>
  <si>
    <t>10–40 %</t>
  </si>
  <si>
    <t>Базовые данные, Демо-набор данных › Склад › стр. 24</t>
  </si>
  <si>
    <t>Персонал</t>
  </si>
  <si>
    <t>Общая численность персонала склада</t>
  </si>
  <si>
    <t>чел.</t>
  </si>
  <si>
    <t>30–700 чел.</t>
  </si>
  <si>
    <t>Базовые данные, Демо-набор данных › Склад › стр. 26</t>
  </si>
  <si>
    <t>Из них: отборщики (комплектовщики)</t>
  </si>
  <si>
    <t>15–500 чел.</t>
  </si>
  <si>
    <t>Базовые данные, Демо-набор данных › Склад › стр. 27</t>
  </si>
  <si>
    <t>Из них: операторы погрузчиков</t>
  </si>
  <si>
    <t>5–80 чел.</t>
  </si>
  <si>
    <t>Задано вами (базовое: 25)</t>
  </si>
  <si>
    <t>Из них: операторы упаковочных линий</t>
  </si>
  <si>
    <t>5–60 чел.</t>
  </si>
  <si>
    <t>Базовые данные, Демо-набор данных › Склад › стр. 29</t>
  </si>
  <si>
    <t>Средняя з/п отборщика (gross)</t>
  </si>
  <si>
    <t>руб./мес.</t>
  </si>
  <si>
    <t>70 000–150 000 руб./мес.</t>
  </si>
  <si>
    <t>Базовые данные, Демо-набор данных › Склад › стр. 30</t>
  </si>
  <si>
    <t>Средняя з/п оператора погрузчика (gross)</t>
  </si>
  <si>
    <t>80 000–170 000 руб./мес.</t>
  </si>
  <si>
    <t>Базовые данные, Демо-набор данных › Склад › стр. 31</t>
  </si>
  <si>
    <t>Коэффициент начислений на ФОТ (страховые взносы)</t>
  </si>
  <si>
    <t>1,302–1,302</t>
  </si>
  <si>
    <t>Базовые данные, Демо-набор данных › Склад › стр. 32</t>
  </si>
  <si>
    <t>Средняя выработка отборщика (строк/ч)</t>
  </si>
  <si>
    <t>строк/ч·чел</t>
  </si>
  <si>
    <t>80–200 строк/ч·чел</t>
  </si>
  <si>
    <t>Базовые данные, Демо-набор данных › Склад › стр. 33</t>
  </si>
  <si>
    <t>Коэффициент потерь рабочего времени (отпуск, болезнь, текучесть)</t>
  </si>
  <si>
    <t>15–35 %</t>
  </si>
  <si>
    <t>Базовые данные, Демо-набор данных › Склад › стр. 34</t>
  </si>
  <si>
    <t>Маршруты и планировка</t>
  </si>
  <si>
    <t>Средняя длина маршрута отборщика на 1 строку</t>
  </si>
  <si>
    <t>15–60 м</t>
  </si>
  <si>
    <t>Базовые данные, Демо-набор данных › Склад › стр. 36</t>
  </si>
  <si>
    <t>Протяжённость конвейерной/транспортной системы</t>
  </si>
  <si>
    <t>0–2 000 м</t>
  </si>
  <si>
    <t>Базовые данные, Демо-набор данных › Склад › стр. 37</t>
  </si>
  <si>
    <t>Хранение и характеристики грузов</t>
  </si>
  <si>
    <t>Тип стеллажной системы</t>
  </si>
  <si>
    <t>Фронтальные паллетные</t>
  </si>
  <si>
    <t>Базовые данные, Демо-набор данных › Склад › стр. 39</t>
  </si>
  <si>
    <t>Количество паллетомест</t>
  </si>
  <si>
    <t>паллетомест</t>
  </si>
  <si>
    <t>10 000–100 000 паллетомест</t>
  </si>
  <si>
    <t>Базовые данные, Демо-набор данных › Склад › стр. 40</t>
  </si>
  <si>
    <t>Средняя масса грузовой единицы (паллет)</t>
  </si>
  <si>
    <t>кг</t>
  </si>
  <si>
    <t>200–1 500 кг</t>
  </si>
  <si>
    <t>Базовые данные, Демо-набор данных › Склад › стр. 41</t>
  </si>
  <si>
    <t>Средняя масса штучной единицы (SKU)</t>
  </si>
  <si>
    <t>0,1–20 кг</t>
  </si>
  <si>
    <t>Базовые данные, Демо-набор данных › Склад › стр. 42</t>
  </si>
  <si>
    <t>Средние габариты паллеты (Д×Ш×В)</t>
  </si>
  <si>
    <t>1200×800×1600</t>
  </si>
  <si>
    <t>мм</t>
  </si>
  <si>
    <t>Базовые данные, Демо-набор данных › Склад › стр. 43</t>
  </si>
  <si>
    <t>Средние габариты штучной единицы (Д×Ш×В)</t>
  </si>
  <si>
    <t>300×200×150</t>
  </si>
  <si>
    <t>Базовые данные, Демо-набор данных › Склад › стр. 44</t>
  </si>
  <si>
    <t>Доля негабаритных/нестандартных грузов</t>
  </si>
  <si>
    <t>0–30 %</t>
  </si>
  <si>
    <t>Базовые данные, Демо-набор данных › Склад › стр. 45</t>
  </si>
  <si>
    <t>Инфраструктура и ограничения</t>
  </si>
  <si>
    <t>Мощность электроснабжения (доступная)</t>
  </si>
  <si>
    <t>кВт</t>
  </si>
  <si>
    <t>100–3 000 кВт</t>
  </si>
  <si>
    <t>Базовые данные, Демо-набор данных › Склад › стр. 47</t>
  </si>
  <si>
    <t>Наличие WMS</t>
  </si>
  <si>
    <t>Да</t>
  </si>
  <si>
    <t>Базовые данные, Демо-набор данных › Склад › стр. 48</t>
  </si>
  <si>
    <t>Наличие ERP/1С</t>
  </si>
  <si>
    <t>1С:ERP</t>
  </si>
  <si>
    <t>Базовые данные, Демо-набор данных › Склад › стр. 49</t>
  </si>
  <si>
    <t>Планируемый бюджет на роботизацию (CAPEX)</t>
  </si>
  <si>
    <t>млн руб.</t>
  </si>
  <si>
    <t>10–500 млн руб.</t>
  </si>
  <si>
    <t>Базовые данные, Демо-набор данных › Склад › стр. 50</t>
  </si>
  <si>
    <t>Горизонт расчёта окупаемости</t>
  </si>
  <si>
    <t>лет</t>
  </si>
  <si>
    <t>3–10 лет</t>
  </si>
  <si>
    <t>Базовые данные, Демо-набор данных › Склад › стр. 51</t>
  </si>
  <si>
    <t>Внутренние перемещения паллет (подпитка, перестановки)</t>
  </si>
  <si>
    <t>паллет/сут</t>
  </si>
  <si>
    <t>0–5 000 паллет/сут</t>
  </si>
  <si>
    <t>Оценка</t>
  </si>
  <si>
    <t>Количество ворот приёмки</t>
  </si>
  <si>
    <t>1–40 шт.</t>
  </si>
  <si>
    <t>Количество ворот отгрузки</t>
  </si>
  <si>
    <t>Температурный режим хранения</t>
  </si>
  <si>
    <t>Нормальный (+5…+25 °C)</t>
  </si>
  <si>
    <t>Высота верхнего яруса хранения</t>
  </si>
  <si>
    <t>4–15 м</t>
  </si>
  <si>
    <t>Расчёт</t>
  </si>
  <si>
    <t>Инвентаризаций в год</t>
  </si>
  <si>
    <t>раз/год</t>
  </si>
  <si>
    <t>1–52 раз/год</t>
  </si>
  <si>
    <t>Уборка склада</t>
  </si>
  <si>
    <t>Площадь уборки</t>
  </si>
  <si>
    <t>Уборок в сутки</t>
  </si>
  <si>
    <t>раз/сут</t>
  </si>
  <si>
    <t>1–6 раз/сут</t>
  </si>
  <si>
    <t>Численность уборщиков склада</t>
  </si>
  <si>
    <t>0–200 чел.</t>
  </si>
  <si>
    <t>не задано — в расчёт не входит</t>
  </si>
  <si>
    <t>Средняя з/п уборщика склада (gross)</t>
  </si>
  <si>
    <t>38 000–85 000 руб./мес.</t>
  </si>
  <si>
    <t>Оценка, Демо-набор данных › Аэропорт › стр. 34</t>
  </si>
  <si>
    <t>Процесс</t>
  </si>
  <si>
    <t>Продукт</t>
  </si>
  <si>
    <t>Статус</t>
  </si>
  <si>
    <t>Балл (0–100)</t>
  </si>
  <si>
    <t>Требует проверки</t>
  </si>
  <si>
    <t>Причины</t>
  </si>
  <si>
    <t>Ограничения</t>
  </si>
  <si>
    <t>Недостающие данные</t>
  </si>
  <si>
    <t>Вклад факторов</t>
  </si>
  <si>
    <t>Перемещение паллет: приёмка → хранение → отгрузка</t>
  </si>
  <si>
    <t>AMR 800 (грузоподъемность до 800 кг)</t>
  </si>
  <si>
    <t>Рекомендуется</t>
  </si>
  <si>
    <t>да</t>
  </si>
  <si>
    <t>Рекомендуется: лучший балл среди кандидатов с расчётом экономики — 66 из 100; Предназначен для процесса «Перемещение паллет: приёмка → хранение → отгрузка» на объекте типа «Склад»; Грузоподъёмность 800 кг ≥ масса груза 800 кг (запас 0 %); Минимальная ширина прохода 0,7 м ≤ ширина проходов объекта 2,8 м; Рабочая температура +5…+40 °C подходит для режима «Нормальный (+5…+25 °C)»</t>
  </si>
  <si>
    <t>запас грузоподъёмности 0 % (800 кг при массе груза 800 кг); подъём на ярусы не предусмотрен: только горизонтальная транспортировка; размещение на верхние ярусы остаётся за погрузчиками; паспортная производительность не опубликована — в расчёт идёт цикл по скорости 2 м/с и планировке объекта; требует проверки: цена не подтверждена первоисточником</t>
  </si>
  <si>
    <t>Ставка RaaS: Услуга (RaaS) без ставки не рассчитывается: укажите ставку за робота в месяц (₽) или подставьте оценку по нормативу — она будет помечена как оценка</t>
  </si>
  <si>
    <t>Экономика: 40 из 40 — Экономика: 40 из 40 — NPV покупки 16,4 млн ₽, лучший среди 8 кандидатов; Данные: 1,2 из 20 — Данные: 1 из 20 — полнота карточки 74 % × подтверждено первоисточником 8 % характеристик; Зрелость: 15 из 15 — Зрелость: 15 из 15 — серийная эксплуатация; Запас: 0 из 15 — Запас: 0 из 15 — грузоподъёмность +0 % к массе груза (полный балл от +50 %); проход шире нужного на 2,1 м (полный балл от 1 м); Кейсы: 10 из 10 — Кейсы: 10 из 10 — есть опубликованные внедрения</t>
  </si>
  <si>
    <t>AK-2000-2</t>
  </si>
  <si>
    <t>Подходит</t>
  </si>
  <si>
    <t>Предназначен для процесса «Перемещение паллет: приёмка → хранение → отгрузка» на объекте типа «Склад»; Грузоподъёмность 2 000 кг ≥ масса груза 800 кг (запас 150 %)</t>
  </si>
  <si>
    <t>высота подъёма не опубликована — размещение на ярус 9 м требует проверки; паспортная производительность не опубликована — в расчёт идёт цикл по скорости 2,6 м/с и планировке объекта; требует проверки: цена не подтверждена первоисточником</t>
  </si>
  <si>
    <t>Ставка RaaS: Услуга (RaaS) без ставки не рассчитывается: укажите ставку за робота в месяц (₽) или подставьте оценку по нормативу — она будет помечена как оценка; Ширина прохода: Уточните у производителя минимальную ширину прохода и разворота — без неё не проверить проходы объекта 2,8 м</t>
  </si>
  <si>
    <t>Экономика: 31,1 из 40 — Экономика: 31 из 40 — NPV покупки 11,6 млн ₽, второй среди 8 кандидатов; Данные: 0,6 из 20 — Данные: 1 из 20 — полнота карточки 77 % × подтверждено первоисточником 4 % характеристик; Зрелость: 15 из 15 — Зрелость: 15 из 15 — серийная эксплуатация; Запас: 7,5 из 15 — Запас: 8 из 15 — грузоподъёмность +150 % к массе груза (полный балл от +50 %); ширина прохода не опубликована — засчитано 0,5; Кейсы: 10 из 10 — Кейсы: 10 из 10 — есть опубликованные внедрения</t>
  </si>
  <si>
    <t>Ronavi H1500 (грузоподъемность до 1 500 кг)</t>
  </si>
  <si>
    <t>Предназначен для процесса «Перемещение паллет: приёмка → хранение → отгрузка» на объекте типа «Склад»; Грузоподъёмность 1 500 кг ≥ масса груза 800 кг (запас 88 %); Минимальная ширина прохода 0,75 м ≤ ширина проходов объекта 2,8 м; Рабочая температура +5…+25 °C подходит для режима «Нормальный (+5…+25 °C)»</t>
  </si>
  <si>
    <t>подъём на ярусы не предусмотрен: только горизонтальная транспортировка; размещение на верхние ярусы остаётся за погрузчиками; требует проверки: карточка собрана из нескольких строк каталога; производительность не подтверждена первоисточником</t>
  </si>
  <si>
    <t>Экономика: 17,8 из 40 — Экономика: 18 из 40 — NPV покупки 4 409 992 ₽, пятый среди 8 кандидатов; Данные: 4,9 из 20 — Данные: 5 из 20 — полнота карточки 94 % × подтверждено первоисточником 26 % характеристик; Зрелость: 15 из 15 — Зрелость: 15 из 15 — серийная эксплуатация; Запас: 15 из 15 — Запас: 15 из 15 — грузоподъёмность +88 % к массе груза (полный балл от +50 %); проход шире нужного на 2,05 м (полный балл от 1 м); Кейсы: 10 из 10 — Кейсы: 10 из 10 — есть опубликованные внедрения</t>
  </si>
  <si>
    <t>AMR 1500 (грузоподъемность до 1 500 кг)</t>
  </si>
  <si>
    <t>Предназначен для процесса «Перемещение паллет: приёмка → хранение → отгрузка» на объекте типа «Склад»; Грузоподъёмность 1 500 кг ≥ масса груза 800 кг (запас 88 %); Минимальная ширина прохода 0,7 м ≤ ширина проходов объекта 2,8 м; Рабочая температура +5…+40 °C подходит для режима «Нормальный (+5…+25 °C)»</t>
  </si>
  <si>
    <t>подъём на ярусы не предусмотрен: только горизонтальная транспортировка; размещение на верхние ярусы остаётся за погрузчиками; пилотная эксплуатация; паспортная производительность не опубликована — в расчёт идёт цикл по скорости 1,5 м/с и планировке объекта; требует проверки: цена не подтверждена первоисточником</t>
  </si>
  <si>
    <t>Экономика: 25,7 из 40 — Экономика: 26 из 40 — NPV покупки 8 673 709 ₽, третий среди 8 кандидатов; Данные: 1,8 из 20 — Данные: 2 из 20 — полнота карточки 74 % × подтверждено первоисточником 12 % характеристик; Зрелость: 9 из 15 — Зрелость: 9 из 15 — пилотная эксплуатация — засчитывается 0,6 от серийной; Запас: 15 из 15 — Запас: 15 из 15 — грузоподъёмность +88 % к массе груза (полный балл от +50 %); проход шире нужного на 2,1 м (полный балл от 1 м); Кейсы: 10 из 10 — Кейсы: 10 из 10 — есть опубликованные внедрения</t>
  </si>
  <si>
    <t>MULE</t>
  </si>
  <si>
    <t>Предназначен для процесса «Перемещение паллет: приёмка → хранение → отгрузка» на объекте типа «Склад»; Грузоподъёмность 1 500 кг ≥ масса груза 800 кг (запас 88 %)</t>
  </si>
  <si>
    <t>высота подъёма не опубликована — размещение на ярус 9 м требует проверки; пилотная эксплуатация; паспортная производительность не опубликована — в расчёт идёт цикл по скорости 1,3 м/с и планировке объекта; требует проверки: цена не подтверждена первоисточником; полнота карточки 55 % (меньше 60 %)</t>
  </si>
  <si>
    <t>Экономика: 21,1 из 40 — Экономика: 21 из 40 — NPV покупки 6 170 044 ₽, четвёртый среди 8 кандидатов; Данные: 1,3 из 20 — Данные: 1 из 20 — полнота карточки 55 % × подтверждено первоисточником 12 % характеристик; Зрелость: 9 из 15 — Зрелость: 9 из 15 — пилотная эксплуатация — засчитывается 0,6 от серийной; Запас: 7,5 из 15 — Запас: 8 из 15 — грузоподъёмность +88 % к массе груза (полный балл от +50 %); ширина прохода не опубликована — засчитано 0,5; Кейсы: 10 из 10 — Кейсы: 10 из 10 — есть опубликованные внедрения</t>
  </si>
  <si>
    <t>Ronavi H2000 (грузоподъемность до 2 000 кг)</t>
  </si>
  <si>
    <t>Предназначен для процесса «Перемещение паллет: приёмка → хранение → отгрузка» на объекте типа «Склад»; Грузоподъёмность 2 000 кг ≥ масса груза 800 кг (запас 150 %); Минимальная ширина прохода 1,19 м ≤ ширина проходов объекта 2,8 м; Рабочая температура +5…+30 °C подходит для режима «Нормальный (+5…+25 °C)»</t>
  </si>
  <si>
    <t>подъём на ярусы не предусмотрен: только горизонтальная транспортировка; размещение на верхние ярусы остаётся за погрузчиками; паспортная производительность не опубликована — в расчёт идёт цикл по скорости 1 м/с и планировке объекта; требует проверки: карточка собрана из нескольких строк каталога; кейс внедрения не подтверждён</t>
  </si>
  <si>
    <t>Экономика: 2,4 из 40 — Экономика: 2 из 40 — NPV покупки -3 949 916 ₽, седьмой среди 8 кандидатов; Данные: 2,7 из 20 — Данные: 3 из 20 — полнота карточки 90 % × подтверждено первоисточником 15 % характеристик; Зрелость: 15 из 15 — Зрелость: 15 из 15 — серийная эксплуатация; Запас: 15 из 15 — Запас: 15 из 15 — грузоподъёмность +150 % к массе груза (полный балл от +50 %); проход шире нужного на 1,61 м (полный балл от 1 м); Кейсы: 10 из 10 — Кейсы: 10 из 10 — есть опубликованные внедрения</t>
  </si>
  <si>
    <t>DMR 1200 (грузоподъемность до 1 200 кг)</t>
  </si>
  <si>
    <t>Предназначен для процесса «Перемещение паллет: приёмка → хранение → отгрузка» на объекте типа «Склад»; Грузоподъёмность 1 200 кг ≥ масса груза 800 кг (запас 50 %)</t>
  </si>
  <si>
    <t>подъём на ярусы не предусмотрен: только горизонтальная транспортировка; размещение на верхние ярусы остаётся за погрузчиками; пилотная эксплуатация; паспортная производительность не опубликована — в расчёт идёт цикл по скорости 2 м/с и планировке объекта; требует проверки: цена не подтверждена первоисточником</t>
  </si>
  <si>
    <t>Экономика: 4,7 из 40 — Экономика: 5 из 40 — NPV покупки -2 681 297 ₽, шестой среди 8 кандидатов; Данные: 0,6 из 20 — Данные: 1 из 20 — полнота карточки 74 % × подтверждено первоисточником 4 % характеристик; Зрелость: 9 из 15 — Зрелость: 9 из 15 — пилотная эксплуатация — засчитывается 0,6 от серийной; Запас: 7,5 из 15 — Запас: 8 из 15 — грузоподъёмность +50 % к массе груза (полный балл от +50 %); ширина прохода не опубликована — засчитано 0,5; Кейсы: 10 из 10 — Кейсы: 10 из 10 — есть опубликованные внедрения</t>
  </si>
  <si>
    <t>DMR Carrier P</t>
  </si>
  <si>
    <t>высота подъёма 1,6 м &lt; верхнего яруса 9 м: только горизонтальная транспортировка; размещение на верхние ярусы остаётся за погрузчиками; пилотная эксплуатация; требует проверки: цена не подтверждена первоисточником; производительность не подтверждена первоисточником</t>
  </si>
  <si>
    <t>Экономика: 0 из 40 — Экономика: 0 из 40 — NPV покупки -5 237 700 ₽, восьмой среди 8 кандидатов; Данные: 4,2 из 20 — Данные: 4 из 20 — полнота карточки 81 % × подтверждено первоисточником 26 % характеристик; Зрелость: 9 из 15 — Зрелость: 9 из 15 — пилотная эксплуатация — засчитывается 0,6 от серийной; Запас: 7,5 из 15 — Запас: 8 из 15 — грузоподъёмность +88 % к массе груза (полный балл от +50 %); ширина прохода не опубликована — засчитано 0,5; Кейсы: 10 из 10 — Кейсы: 10 из 10 — есть опубликованные внедрения</t>
  </si>
  <si>
    <t>Pallet Shuttle</t>
  </si>
  <si>
    <t>Недостаточно данных</t>
  </si>
  <si>
    <t>Недостаточно данных для расчёта парка: паспортная производительность 100 паллет/ч в расчёт не идёт (паспортная цифра не отнесена к одному роботу или станции), цикл по скорости для стационарного решения не считается; Предназначен для процесса «Перемещение паллет: приёмка → хранение → отгрузка» на объекте типа «Склад»; Грузоподъёмность 1 500 кг ≥ масса груза 800 кг (запас 88 %)</t>
  </si>
  <si>
    <t>перестройка стеллажей под каналы шаттла в CAPEX не учтена; требует проверки: производитель указан спорно; кейс внедрения не подтверждён; цена не подтверждена первоисточником; производительность не подтверждена первоисточником</t>
  </si>
  <si>
    <t>Производительность: Укажите производительность вручную или выберите решение с данными; Ставка RaaS: Услуга (RaaS) без ставки не рассчитывается: укажите ставку за робота в месяц (₽) или подставьте оценку по нормативу — она будет помечена как оценка</t>
  </si>
  <si>
    <t>Экономика: 0 из 40 — Экономика: 0 из 40 — нет данных для экономики: без производительности парк не посчитать; Данные: 1,9 из 20 — Данные: 2 из 20 — полнота карточки 74 % × подтверждено первоисточником 13 % характеристик; Зрелость: 15 из 15 — Зрелость: 15 из 15 — серийная эксплуатация; Запас: 15 из 15 — Запас: 15 из 15 — грузоподъёмность +88 % к массе груза (полный балл от +50 %); стационарное решение — проходы для проезда не нужны; Кейсы: 10 из 10 — Кейсы: 10 из 10 — есть опубликованные внедрения</t>
  </si>
  <si>
    <t>Беспилотный погрузчик</t>
  </si>
  <si>
    <t>Недостаточно данных для расчёта парка: паспортная производительность не опубликована, скорость для расчёта цикла не опубликована; Предназначен для процесса «Перемещение паллет: приёмка → хранение → отгрузка» на объекте типа «Склад»; Грузоподъёмность 2 000 кг ≥ масса груза 800 кг (запас 150 %)</t>
  </si>
  <si>
    <t>высота подъёма не опубликована — размещение на ярус 9 м требует проверки; пилотная эксплуатация; требует проверки: производитель указан спорно; цена не подтверждена первоисточником</t>
  </si>
  <si>
    <t>Производительность: Укажите производительность вручную или выберите решение с данными; Ставка RaaS: Услуга (RaaS) без ставки не рассчитывается: укажите ставку за робота в месяц (₽) или подставьте оценку по нормативу — она будет помечена как оценка; Ширина прохода: Уточните у производителя минимальную ширину прохода и разворота — без неё не проверить проходы объекта 2,8 м</t>
  </si>
  <si>
    <t>Экономика: 0 из 40 — Экономика: 0 из 40 — нет данных для экономики: без производительности парк не посчитать; Данные: 0 из 20 — Данные: 0 из 20 — полнота карточки 65 % × подтверждено первоисточником 0 % характеристик; Зрелость: 9 из 15 — Зрелость: 9 из 15 — пилотная эксплуатация — засчитывается 0,6 от серийной; Запас: 7,5 из 15 — Запас: 8 из 15 — грузоподъёмность +150 % к массе груза (полный балл от +50 %); ширина прохода не опубликована — засчитано 0,5; Кейсы: 10 из 10 — Кейсы: 10 из 10 — есть опубликованные внедрения</t>
  </si>
  <si>
    <t>Сёмабот (грузоподъемность до 1 500 кг)</t>
  </si>
  <si>
    <t>Недостаточно данных для расчёта парка: паспортная производительность не опубликована, скорость для расчёта цикла не опубликована; Предназначен для процесса «Перемещение паллет: приёмка → хранение → отгрузка» на объекте типа «Склад»; Грузоподъёмность 1 500 кг ≥ масса груза 800 кг (запас 88 %)</t>
  </si>
  <si>
    <t>подъём на ярусы не предусмотрен: только горизонтальная транспортировка; размещение на верхние ярусы остаётся за погрузчиками; пилотная эксплуатация; требует проверки: цена похожа на условную (типовое значение каталога); цена не подтверждена первоисточником</t>
  </si>
  <si>
    <t>Экономика: 0 из 40 — Экономика: 0 из 40 — нет данных для экономики: без производительности парк не посчитать; Данные: 0,6 из 20 — Данные: 1 из 20 — полнота карточки 61 % × подтверждено первоисточником 5 % характеристик; Зрелость: 9 из 15 — Зрелость: 9 из 15 — пилотная эксплуатация — засчитывается 0,6 от серийной; Запас: 7,5 из 15 — Запас: 8 из 15 — грузоподъёмность +88 % к массе груза (полный балл от +50 %); ширина прохода не опубликована — засчитано 0,5; Кейсы: 10 из 10 — Кейсы: 10 из 10 — есть опубликованные внедрения</t>
  </si>
  <si>
    <t>Робот-тягач RoboCV</t>
  </si>
  <si>
    <t>Исключён</t>
  </si>
  <si>
    <t>Робот-тягач RoboCV: минимальная ширина прохода 2,9 м &gt; ширина проходов объекта 2,8 м</t>
  </si>
  <si>
    <t>подъём на ярусы не предусмотрен: только горизонтальная транспортировка; размещение на верхние ярусы остаётся за погрузчиками; требует проверки: цена похожа на условную (типовое значение каталога); часть характеристик взята у другого продукта; цена не подтверждена первоисточником</t>
  </si>
  <si>
    <t>Робот-штабелёр RoboCV</t>
  </si>
  <si>
    <t>Робот-штабелёр RoboCV: ширина прохода для разворота 2,9 м &gt; ширина проходов объекта 2,8 м</t>
  </si>
  <si>
    <t>высота подъёма не опубликована — размещение на ярус 9 м требует проверки; требует проверки: цена похожа на условную (типовое значение каталога); цена не подтверждена первоисточником; производительность не подтверждена первоисточником</t>
  </si>
  <si>
    <t>AS-RS P</t>
  </si>
  <si>
    <t>AS-RS P: не предназначен для процесса «Перемещение паллет: приёмка → хранение → отгрузка»</t>
  </si>
  <si>
    <t>требует проверки: цена не подтверждена первоисточником</t>
  </si>
  <si>
    <t>DMR 600 (грузоподъемность до 600 кг)</t>
  </si>
  <si>
    <t>DMR 600 (грузоподъемность до 600 кг): грузоподъёмность 600 кг &lt; масса груза 800 кг</t>
  </si>
  <si>
    <t>подъём на ярусы не предусмотрен: только горизонтальная транспортировка; размещение на верхние ярусы остаётся за погрузчиками; пилотная эксплуатация; требует проверки: карточка собрана из нескольких строк каталога; цена не подтверждена первоисточником</t>
  </si>
  <si>
    <t>Ronavi RCM (грузоподъемность до 350 кг)</t>
  </si>
  <si>
    <t>Статус НИОКР — в расчёт не включается; Модель не найдена у производителя; Опытный образец; Модель Ronavi RCM не найдена у производителя: в каталоге ronavi-robotics.ru семь моделей, страница /catalogue/rcm недоступна (проверено 23.09.2026); Ronavi RCM (грузоподъемность до 350 кг): грузоподъёмность 350 кг &lt; масса груза 800 кг</t>
  </si>
  <si>
    <t>подъём на ярусы не предусмотрен: только горизонтальная транспортировка; размещение на верхние ярусы остаётся за погрузчиками; требует проверки: цена не подтверждена первоисточником; полнота карточки 39 % (меньше 60 %)</t>
  </si>
  <si>
    <t>Tagarka (грузоподъемность до 35 000 кг)</t>
  </si>
  <si>
    <t>Вариант не опубликован; Вариант Tagarka 35 т не опубликован производителем: на сайте Семаргл линейка 2 / 6 / 9 т, большие грузоподъёмности — только под заказ (проверено 23.09.2026)</t>
  </si>
  <si>
    <t>Автоматизированное хранение</t>
  </si>
  <si>
    <t>Предназначен для процесса «Автоматизированное хранение» на объекте типа «Склад»; Грузоподъёмность 1 400 кг ≥ масса груза 800 кг (запас 75 %)</t>
  </si>
  <si>
    <t>Экономика: 0 из 40 — Экономика: 0 из 40 — нет данных для экономики: экономика процесса «Автоматизированное хранение» в прототипе не рассчитывается; Данные: 7,1 из 20 — Данные: 7 из 20 — полнота карточки 81 % × подтверждено первоисточником 44 % характеристик; Зрелость: 15 из 15 — Зрелость: 15 из 15 — серийная эксплуатация; Запас: 15 из 15 — Запас: 15 из 15 — грузоподъёмность +75 % к массе груза (полный балл от +50 %); ширина проходов процессом не ограничивается; Кейсы: 10 из 10 — Кейсы: 10 из 10 — есть опубликованные внедрения</t>
  </si>
  <si>
    <t>Предназначен для процесса «Автоматизированное хранение» на объекте типа «Склад»; Грузоподъёмность 1 500 кг ≥ масса груза 800 кг (запас 88 %)</t>
  </si>
  <si>
    <t>Экономика: 0 из 40 — Экономика: 0 из 40 — нет данных для экономики: экономика процесса «Автоматизированное хранение» в прототипе не рассчитывается; Данные: 1,9 из 20 — Данные: 2 из 20 — полнота карточки 74 % × подтверждено первоисточником 13 % характеристик; Зрелость: 15 из 15 — Зрелость: 15 из 15 — серийная эксплуатация; Запас: 15 из 15 — Запас: 15 из 15 — грузоподъёмность +88 % к массе груза (полный балл от +50 %); стационарное решение — проходы для проезда не нужны; Кейсы: 10 из 10 — Кейсы: 10 из 10 — есть опубликованные внедрения</t>
  </si>
  <si>
    <t>Предназначен для процесса «Автоматизированное хранение» на объекте типа «Склад»; Грузоподъёмность 2 000 кг ≥ масса груза 800 кг (запас 150 %)</t>
  </si>
  <si>
    <t>высота подъёма не опубликована — размещение на ярус 9 м требует проверки; требует проверки: цена не подтверждена первоисточником</t>
  </si>
  <si>
    <t>Экономика: 0 из 40 — Экономика: 0 из 40 — нет данных для экономики: экономика процесса «Автоматизированное хранение» в прототипе не рассчитывается; Данные: 0,6 из 20 — Данные: 1 из 20 — полнота карточки 77 % × подтверждено первоисточником 4 % характеристик; Зрелость: 15 из 15 — Зрелость: 15 из 15 — серийная эксплуатация; Запас: 15 из 15 — Запас: 15 из 15 — грузоподъёмность +150 % к массе груза (полный балл от +50 %); ширина проходов процессом не ограничивается; Кейсы: 10 из 10 — Кейсы: 10 из 10 — есть опубликованные внедрения</t>
  </si>
  <si>
    <t>Экономика: 0 из 40 — Экономика: 0 из 40 — нет данных для экономики: экономика процесса «Автоматизированное хранение» в прототипе не рассчитывается; Данные: 4,2 из 20 — Данные: 4 из 20 — полнота карточки 81 % × подтверждено первоисточником 26 % характеристик; Зрелость: 9 из 15 — Зрелость: 9 из 15 — пилотная эксплуатация — засчитывается 0,6 от серийной; Запас: 15 из 15 — Запас: 15 из 15 — грузоподъёмность +88 % к массе груза (полный балл от +50 %); ширина проходов процессом не ограничивается; Кейсы: 10 из 10 — Кейсы: 10 из 10 — есть опубликованные внедрения</t>
  </si>
  <si>
    <t>Недостаточно данных: нет ни производительности, ни скорости; Предназначен для процесса «Автоматизированное хранение» на объекте типа «Склад»; Грузоподъёмность 3 000 кг ≥ масса груза 800 кг (запас 275 %); Рабочая температура −5…+40 °C подходит для режима «Нормальный (+5…+25 °C)»</t>
  </si>
  <si>
    <t>Экономика: 0 из 40 — Экономика: 0 из 40 — нет данных для экономики: экономика процесса «Автоматизированное хранение» в прототипе не рассчитывается; Данные: 3,4 из 20 — Данные: 3 из 20 — полнота карточки 65 % × подтверждено первоисточником 26 % характеристик; Зрелость: 15 из 15 — Зрелость: 15 из 15 — серийная эксплуатация; Запас: 15 из 15 — Запас: 15 из 15 — грузоподъёмность +275 % к массе груза (полный балл от +50 %); стационарное решение — проходы для проезда не нужны; Кейсы: 10 из 10 — Кейсы: 10 из 10 — есть опубликованные внедрения</t>
  </si>
  <si>
    <t>Беспилотный погрузчик: не предназначен для процесса «Автоматизированное хранение»</t>
  </si>
  <si>
    <t>MULE: не предназначен для процесса «Автоматизированное хранение»</t>
  </si>
  <si>
    <t>высота подъёма не опубликована — размещение на ярус 9 м требует проверки; пилотная эксплуатация; требует проверки: цена не подтверждена первоисточником; полнота карточки 55 % (меньше 60 %)</t>
  </si>
  <si>
    <t>Штучный отбор (товар к человеку)</t>
  </si>
  <si>
    <t>SmartCube</t>
  </si>
  <si>
    <t>Предназначен для процесса «Штучный отбор (товар к человеку)» на объекте типа «Склад»; Грузоподъёмность 30 кг ≥ масса груза 1,8 кг (запас 1 567 %)</t>
  </si>
  <si>
    <t>требует проверки: в источниках разные цены; цена не подтверждена первоисточником</t>
  </si>
  <si>
    <t>Экономика: 0 из 40 — Экономика: 0 из 40 — нет данных для экономики: экономика процесса «Штучный отбор (товар к человеку)» в прототипе не рассчитывается; Данные: 9,4 из 20 — Данные: 9 из 20 — полнота карточки 87 % × подтверждено первоисточником 54 % характеристик; Зрелость: 15 из 15 — Зрелость: 15 из 15 — серийная эксплуатация; Запас: 15 из 15 — Запас: 15 из 15 — грузоподъёмность +1 567 % к массе груза (полный балл от +50 %); стационарное решение — проходы для проезда не нужны; Кейсы: 10 из 10 — Кейсы: 10 из 10 — есть опубликованные внедрения</t>
  </si>
  <si>
    <t>DMR 300 Carrier B</t>
  </si>
  <si>
    <t>Предназначен для процесса «Штучный отбор (товар к человеку)» на объекте типа «Склад»; Грузоподъёмность 100 кг ≥ масса груза 1,8 кг (запас 5 456 %); Рабочая температура 0…+40 °C подходит для режима «Нормальный (+5…+25 °C)»</t>
  </si>
  <si>
    <t>Экономика: 0 из 40 — Экономика: 0 из 40 — нет данных для экономики: экономика процесса «Штучный отбор (товар к человеку)» в прототипе не рассчитывается; Данные: 0,6 из 20 — Данные: 1 из 20 — полнота карточки 74 % × подтверждено первоисточником 4 % характеристик; Зрелость: 15 из 15 — Зрелость: 15 из 15 — серийная эксплуатация; Запас: 15 из 15 — Запас: 15 из 15 — грузоподъёмность +5 456 % к массе груза (полный балл от +50 %); ширина проходов процессом не ограничивается; Кейсы: 10 из 10 — Кейсы: 10 из 10 — есть опубликованные внедрения</t>
  </si>
  <si>
    <t>AMR 100 (грузоподъемность до 100 кг)</t>
  </si>
  <si>
    <t>Предназначен для процесса «Штучный отбор (товар к человеку)» на объекте типа «Склад»; Грузоподъёмность 100 кг ≥ масса груза 1,8 кг (запас 5 456 %)</t>
  </si>
  <si>
    <t>Экономика: 0 из 40 — Экономика: 0 из 40 — нет данных для экономики: экономика процесса «Штучный отбор (товар к человеку)» в прототипе не рассчитывается; Данные: 0 из 20 — Данные: 0 из 20 — полнота карточки 68 % × подтверждено первоисточником 0 % характеристик; Зрелость: 15 из 15 — Зрелость: 15 из 15 — серийная эксплуатация; Запас: 15 из 15 — Запас: 15 из 15 — грузоподъёмность +5 456 % к массе груза (полный балл от +50 %); ширина проходов процессом не ограничивается; Кейсы: 10 из 10 — Кейсы: 10 из 10 — есть опубликованные внедрения</t>
  </si>
  <si>
    <t>Ronavi M (грузоподъемность до 1200 кг)</t>
  </si>
  <si>
    <t>Предназначен для процесса «Штучный отбор (товар к человеку)» на объекте типа «Склад»; Грузоподъёмность 1 200 кг ≥ масса груза 1,8 кг (запас 66 567 %); Рабочая температура +5…+30 °C подходит для режима «Нормальный (+5…+25 °C)»</t>
  </si>
  <si>
    <t>пилотная эксплуатация; требует проверки: производительность не подтверждена первоисточником</t>
  </si>
  <si>
    <t>Экономика: 0 из 40 — Экономика: 0 из 40 — нет данных для экономики: экономика процесса «Штучный отбор (товар к человеку)» в прототипе не рассчитывается; Данные: 1,7 из 20 — Данные: 2 из 20 — полнота карточки 94 % × подтверждено первоисточником 9 % характеристик; Зрелость: 9 из 15 — Зрелость: 9 из 15 — пилотная эксплуатация — засчитывается 0,6 от серийной; Запас: 15 из 15 — Запас: 15 из 15 — грузоподъёмность +66 567 % к массе груза (полный балл от +50 %); ширина проходов процессом не ограничивается; Кейсы: 10 из 10 — Кейсы: 10 из 10 — есть опубликованные внедрения</t>
  </si>
  <si>
    <t>AS-RS B</t>
  </si>
  <si>
    <t>Недостаточно данных: нет ни производительности, ни скорости; Предназначен для процесса «Штучный отбор (товар к человеку)» на объекте типа «Склад»; Грузоподъёмность 30 кг ≥ масса груза 1,8 кг (запас 1 567 %); Рабочая температура −5…+40 °C подходит для режима «Нормальный (+5…+25 °C)»</t>
  </si>
  <si>
    <t>пилотная эксплуатация; требует проверки: цена не подтверждена первоисточником</t>
  </si>
  <si>
    <t>Экономика: 0 из 40 — Экономика: 0 из 40 — нет данных для экономики: экономика процесса «Штучный отбор (товар к человеку)» в прототипе не рассчитывается; Данные: 1,7 из 20 — Данные: 2 из 20 — полнота карточки 65 % × подтверждено первоисточником 13 % характеристик; Зрелость: 9 из 15 — Зрелость: 9 из 15 — пилотная эксплуатация — засчитывается 0,6 от серийной; Запас: 15 из 15 — Запас: 15 из 15 — грузоподъёмность +1 567 % к массе груза (полный балл от +50 %); стационарное решение — проходы для проезда не нужны; Кейсы: 10 из 10 — Кейсы: 10 из 10 — есть опубликованные внедрения</t>
  </si>
  <si>
    <t>Воркер</t>
  </si>
  <si>
    <t>Недостаточно данных: нет ни производительности, ни скорости; Предназначен для процесса «Штучный отбор (товар к человеку)» на объекте типа «Склад»</t>
  </si>
  <si>
    <t>пилотная эксплуатация; требует проверки: цена не подтверждена первоисточником; полнота карточки 55 % (меньше 60 %)</t>
  </si>
  <si>
    <t>Производительность: Укажите производительность вручную или выберите решение с данными; Ставка RaaS: Услуга (RaaS) без ставки не рассчитывается: укажите ставку за робота в месяц (₽) или подставьте оценку по нормативу — она будет помечена как оценка; Грузоподъёмность: Уточните грузоподъёмность у производителя — без неё не проверить, повезёт ли робот груз 1,8 кг</t>
  </si>
  <si>
    <t>Экономика: 0 из 40 — Экономика: 0 из 40 — нет данных для экономики: экономика процесса «Штучный отбор (товар к человеку)» в прототипе не рассчитывается; Данные: 0,7 из 20 — Данные: 1 из 20 — полнота карточки 55 % × подтверждено первоисточником 6 % характеристик; Зрелость: 9 из 15 — Зрелость: 9 из 15 — пилотная эксплуатация — засчитывается 0,6 от серийной; Запас: 7,5 из 15 — Запас: 8 из 15 — грузоподъёмность не опубликована — засчитано 0,5; ширина проходов процессом не ограничивается; Кейсы: 10 из 10 — Кейсы: 10 из 10 — есть опубликованные внедрения</t>
  </si>
  <si>
    <t>Робот-комплектовщик</t>
  </si>
  <si>
    <t>Статус НИОКР — в расчёт не включается; Опытный образец; Статус «НИОКР» в каталоге — опытный образец, в расчёт не включается</t>
  </si>
  <si>
    <t>требует проверки: цена похожа на условную (типовое значение каталога); цена не подтверждена первоисточником; полнота карточки 52 % (меньше 60 %)</t>
  </si>
  <si>
    <t>Сортировка</t>
  </si>
  <si>
    <t>Ronavi SR (грузоподъемность до 50 кг)</t>
  </si>
  <si>
    <t>Предназначен для процесса «Сортировка» на объекте типа «Склад»; Грузоподъёмность 50 кг ≥ масса груза 1,8 кг (запас 2 678 %)</t>
  </si>
  <si>
    <t>Экономика: 0 из 40 — Экономика: 0 из 40 — нет данных для экономики: экономика процесса «Сортировка» в прототипе не рассчитывается; Данные: 9,4 из 20 — Данные: 9 из 20 — полнота карточки 94 % × подтверждено первоисточником 50 % характеристик; Зрелость: 15 из 15 — Зрелость: 15 из 15 — серийная эксплуатация; Запас: 15 из 15 — Запас: 15 из 15 — грузоподъёмность +2 678 % к массе груза (полный балл от +50 %); ширина проходов процессом не ограничивается; Кейсы: 10 из 10 — Кейсы: 10 из 10 — есть опубликованные внедрения</t>
  </si>
  <si>
    <t>Ronavi SD (грузоподъемность до 10 кг)</t>
  </si>
  <si>
    <t>Предназначен для процесса «Сортировка» на объекте типа «Склад»; Грузоподъёмность 10 кг ≥ масса груза 1,8 кг (запас 456 %)</t>
  </si>
  <si>
    <t>пилотная эксплуатация; требует проверки: в источниках разные цены; цена не подтверждена первоисточником</t>
  </si>
  <si>
    <t>Экономика: 0 из 40 — Экономика: 0 из 40 — нет данных для экономики: экономика процесса «Сортировка» в прототипе не рассчитывается; Данные: 4,3 из 20 — Данные: 4 из 20 — полнота карточки 90 % × подтверждено первоисточником 24 % характеристик; Зрелость: 9 из 15 — Зрелость: 9 из 15 — пилотная эксплуатация — засчитывается 0,6 от серийной; Запас: 15 из 15 — Запас: 15 из 15 — грузоподъёмность +456 % к массе груза (полный балл от +50 %); ширина проходов процессом не ограничивается; Кейсы: 10 из 10 — Кейсы: 10 из 10 — есть опубликованные внедрения</t>
  </si>
  <si>
    <t>Инвентаризация</t>
  </si>
  <si>
    <t>Инвентаризатор AI Stock Counter 12M</t>
  </si>
  <si>
    <t>Предназначен для процесса «Инвентаризация» на объекте типа «Склад»</t>
  </si>
  <si>
    <t>Экономика: 0 из 40 — Экономика: 0 из 40 — нет данных для экономики: экономика процесса «Инвентаризация» в прототипе не рассчитывается; Данные: 0,7 из 20 — Данные: 1 из 20 — полнота карточки 65 % × подтверждено первоисточником 5 % характеристик; Зрелость: 15 из 15 — Зрелость: 15 из 15 — серийная эксплуатация; Запас: 7,5 из 15 — Запас: 8 из 15 — масса груза процессом не ограничивается; ширина прохода не опубликована — засчитано 0,5; Кейсы: 10 из 10 — Кейсы: 10 из 10 — есть опубликованные внедрения</t>
  </si>
  <si>
    <t>Робот инвентаризатор</t>
  </si>
  <si>
    <t>Недостаточно данных: нет ни производительности, ни скорости; Предназначен для процесса «Инвентаризация» на объекте типа «Склад»</t>
  </si>
  <si>
    <t>требует проверки: цена может быть годовой подпиской, а не ценой покупки; цена не подтверждена первоисточником</t>
  </si>
  <si>
    <t>Производительность: Укажите производительность вручную или выберите решение с данными; Ширина прохода: Уточните у производителя минимальную ширину прохода и разворота — без неё не проверить проходы объекта 2,8 м</t>
  </si>
  <si>
    <t>MARK 2 SE</t>
  </si>
  <si>
    <t>Для расчёта парка задайте эксплуатационный профиль уборки; паспортная производительность его не заменяет; Предназначен для процесса «Уборка склада» на объекте типа «Склад»; Минимальная ширина прохода 1,2 м ≤ ширина проходов объекта 2,8 м</t>
  </si>
  <si>
    <t>Эксплуатационный профиль уборки: В экономике сценария задайте выработку за активный час, рабочее окно, работу и зарядку, ежедневный уход. Паспортная производительность не заменяет профиль.</t>
  </si>
  <si>
    <t>Экономика: 0 из 40 — Экономика: 0 из 40 — нет данных для экономики: не задан эксплуатационный профиль уборки; Данные: 4,5 из 20 — Данные: 5 из 20 — полнота карточки 87 % × подтверждено первоисточником 26 % характеристик; Зрелость: 15 из 15 — Зрелость: 15 из 15 — серийная эксплуатация; Запас: 15 из 15 — Запас: 15 из 15 — масса груза процессом не ограничивается; проход шире нужного на 1,6 м (полный балл от 1 м); Кейсы: 10 из 10 — Кейсы: 10 из 10 — есть опубликованные внедрения</t>
  </si>
  <si>
    <t>Клинботикс 400 PRO</t>
  </si>
  <si>
    <t>Для расчёта парка задайте эксплуатационный профиль уборки; паспортная производительность его не заменяет; Предназначен для процесса «Уборка склада» на объекте типа «Склад»; Минимальная ширина прохода 0,7 м ≤ ширина проходов объекта 2,8 м</t>
  </si>
  <si>
    <t>требует проверки: цена не подтверждена первоисточником; производительность не подтверждена первоисточником</t>
  </si>
  <si>
    <t>Экономика: 0 из 40 — Экономика: 0 из 40 — нет данных для экономики: не задан эксплуатационный профиль уборки; Данные: 1,8 из 20 — Данные: 2 из 20 — полнота карточки 81 % × подтверждено первоисточником 11 % характеристик; Зрелость: 15 из 15 — Зрелость: 15 из 15 — серийная эксплуатация; Запас: 15 из 15 — Запас: 15 из 15 — масса груза процессом не ограничивается; проход шире нужного на 2,1 м (полный балл от 1 м); Кейсы: 10 из 10 — Кейсы: 10 из 10 — есть опубликованные внедрения</t>
  </si>
  <si>
    <t>Клинботикс 600</t>
  </si>
  <si>
    <t>Для расчёта парка задайте эксплуатационный профиль уборки; паспортная производительность его не заменяет; Предназначен для процесса «Уборка склада» на объекте типа «Склад»; Минимальная ширина прохода 0,75 м ≤ ширина проходов объекта 2,8 м</t>
  </si>
  <si>
    <t>Экономика: 0 из 40 — Экономика: 0 из 40 — нет данных для экономики: не задан эксплуатационный профиль уборки; Данные: 1,8 из 20 — Данные: 2 из 20 — полнота карточки 81 % × подтверждено первоисточником 11 % характеристик; Зрелость: 15 из 15 — Зрелость: 15 из 15 — серийная эксплуатация; Запас: 15 из 15 — Запас: 15 из 15 — масса груза процессом не ограничивается; проход шире нужного на 2,05 м (полный балл от 1 м); Кейсы: 10 из 10 — Кейсы: 10 из 10 — есть опубликованные внедрения</t>
  </si>
  <si>
    <t>АК-SC80</t>
  </si>
  <si>
    <t>Для расчёта парка задайте эксплуатационный профиль уборки; паспортная производительность его не заменяет; Предназначен для процесса «Уборка склада» на объекте типа «Склад»</t>
  </si>
  <si>
    <t>требует проверки: производитель указан спорно; цена не подтверждена первоисточником; производительность не подтверждена первоисточником; полнота карточки 48 % (меньше 60 %)</t>
  </si>
  <si>
    <t>Эксплуатационный профиль уборки: В экономике сценария задайте выработку за активный час, рабочее окно, работу и зарядку, ежедневный уход. Паспортная производительность не заменяет профиль.; Ставка RaaS: Услуга (RaaS) без ставки не рассчитывается: укажите ставку за робота в месяц (₽) или подставьте оценку по нормативу — она будет помечена как оценка; Ширина прохода: Уточните у производителя минимальную ширину прохода и разворота — без неё не проверить проходы объекта 2,8 м</t>
  </si>
  <si>
    <t>Экономика: 0 из 40 — Экономика: 0 из 40 — нет данных для экономики: не задан эксплуатационный профиль уборки; Данные: 0 из 20 — Данные: 0 из 20 — полнота карточки 48 % × подтверждено первоисточником 0 % характеристик; Зрелость: 15 из 15 — Зрелость: 15 из 15 — серийная эксплуатация; Запас: 7,5 из 15 — Запас: 8 из 15 — масса груза процессом не ограничивается; ширина прохода не опубликована — засчитано 0,5; Кейсы: 10 из 10 — Кейсы: 10 из 10 — есть опубликованные внедрения</t>
  </si>
  <si>
    <t>РУБИ-С-03</t>
  </si>
  <si>
    <t>требует проверки: кейс внедрения не подтверждён; цена не подтверждена первоисточником</t>
  </si>
  <si>
    <t>Экономика: 0 из 40 — Экономика: 0 из 40 — нет данных для экономики: не задан эксплуатационный профиль уборки; Данные: 0 из 20 — Данные: 0 из 20 — полнота карточки 74 % × подтверждено первоисточником 0 % характеристик; Зрелость: 15 из 15 — Зрелость: 15 из 15 — серийная эксплуатация; Запас: 7,5 из 15 — Запас: 8 из 15 — масса груза процессом не ограничивается; ширина прохода не опубликована — засчитано 0,5; Кейсы: 10 из 10 — Кейсы: 10 из 10 — есть опубликованные внедрения</t>
  </si>
  <si>
    <t>Unit</t>
  </si>
  <si>
    <t>Экономика: 0 из 40 — Экономика: 0 из 40 — нет данных для экономики: не задан эксплуатационный профиль уборки; Данные: 1,3 из 20 — Данные: 1 из 20 — полнота карточки 71 % × подтверждено первоисточником 9 % характеристик; Зрелость: 9 из 15 — Зрелость: 9 из 15 — пилотная эксплуатация — засчитывается 0,6 от серийной; Запас: 7,5 из 15 — Запас: 8 из 15 — масса груза процессом не ограничивается; ширина прохода не опубликована — засчитано 0,5; Кейсы: 10 из 10 — Кейсы: 10 из 10 — есть опубликованные внедрения</t>
  </si>
  <si>
    <t>AGIBOT C5</t>
  </si>
  <si>
    <t>требует проверки: статус эксплуатации не подтверждён; полнота карточки 42 % (меньше 60 %)</t>
  </si>
  <si>
    <t>Эксплуатационный профиль уборки: В экономике сценария задайте выработку за активный час, рабочее окно, работу и зарядку, ежедневный уход. Паспортная производительность не заменяет профиль.; Цена оборудования: Покупка без цены не рассчитывается: укажите цену робота (₽) вручную или запросите коммерческое предложение у производителя; Ставка RaaS: Услуга (RaaS) без ставки не рассчитывается: укажите ставку за робота в месяц (₽) или подставьте оценку по нормативу — она будет помечена как оценка; Ширина прохода: Уточните у производителя минимальную ширину прохода и разворота — без неё не проверить проходы объекта 2,8 м</t>
  </si>
  <si>
    <t>Экономика: 0 из 40 — Экономика: 0 из 40 — нет данных для экономики: не задан эксплуатационный профиль уборки; Данные: 4,2 из 20 — Данные: 4 из 20 — полнота карточки 42 % × подтверждено первоисточником 50 % характеристик; Зрелость: 0 из 15 — Зрелость: 0 из 15 — статус эксплуатации не подтверждён; доказанная зрелость не засчитывается; Запас: 7,5 из 15 — Запас: 8 из 15 — масса груза процессом не ограничивается; ширина прохода не опубликована — засчитано 0,5; Кейсы: 0 из 10 — Кейсы: 0 из 10 — опубликованных внедрений нет</t>
  </si>
  <si>
    <t>PUDU CC1</t>
  </si>
  <si>
    <t>требует проверки: статус эксплуатации не подтверждён; полнота карточки 45 % (меньше 60 %)</t>
  </si>
  <si>
    <t>Экономика: 0 из 40 — Экономика: 0 из 40 — нет данных для экономики: не задан эксплуатационный профиль уборки; Данные: 4,8 из 20 — Данные: 5 из 20 — полнота карточки 45 % × подтверждено первоисточником 53 % характеристик; Зрелость: 0 из 15 — Зрелость: 0 из 15 — статус эксплуатации не подтверждён; доказанная зрелость не засчитывается; Запас: 7,5 из 15 — Запас: 8 из 15 — масса груза процессом не ограничивается; ширина прохода не опубликована — засчитано 0,5; Кейсы: 0 из 10 — Кейсы: 0 из 10 — опубликованных внедрений нет</t>
  </si>
  <si>
    <t>VIGGO SC80</t>
  </si>
  <si>
    <t>требует проверки: статус эксплуатации не подтверждён; полнота карточки 39 % (меньше 60 %)</t>
  </si>
  <si>
    <t>Экономика: 0 из 40 — Экономика: 0 из 40 — нет данных для экономики: не задан эксплуатационный профиль уборки; Данные: 3,9 из 20 — Данные: 4 из 20 — полнота карточки 39 % × подтверждено первоисточником 50 % характеристик; Зрелость: 0 из 15 — Зрелость: 0 из 15 — статус эксплуатации не подтверждён; доказанная зрелость не засчитывается; Запас: 7,5 из 15 — Запас: 8 из 15 — масса груза процессом не ограничивается; ширина прохода не опубликована — засчитано 0,5; Кейсы: 0 из 10 — Кейсы: 0 из 10 — опубликованных внедрений нет</t>
  </si>
  <si>
    <t>Astramis SurfexUnit</t>
  </si>
  <si>
    <t>требует проверки: цена не подтверждена первоисточником; полнота карточки 48 % (меньше 60 %)</t>
  </si>
  <si>
    <t>Сравнение решений по единым характеристикам</t>
  </si>
  <si>
    <t>Грузоподъёмность, кг</t>
  </si>
  <si>
    <t>Скорость, м/с</t>
  </si>
  <si>
    <t>Норма, ед./ч</t>
  </si>
  <si>
    <t>По циклу, ед./ч</t>
  </si>
  <si>
    <t>Принято, ед./ч</t>
  </si>
  <si>
    <t>Автономность, ч</t>
  </si>
  <si>
    <t>Зарядка, мин</t>
  </si>
  <si>
    <t>Мин. ширина прохода, м</t>
  </si>
  <si>
    <t>Роботов</t>
  </si>
  <si>
    <t>Зарядных станций</t>
  </si>
  <si>
    <t>Цена, ₽</t>
  </si>
  <si>
    <t>CAPEX покупки, ₽</t>
  </si>
  <si>
    <t>NPV покупки, ₽</t>
  </si>
  <si>
    <t>Окупаемость покупки, лет</t>
  </si>
  <si>
    <t>Ставка RaaS, ₽/мес</t>
  </si>
  <si>
    <t>Полнота карточки, %</t>
  </si>
  <si>
    <t>Единица потока</t>
  </si>
  <si>
    <t>Спрос в сутки</t>
  </si>
  <si>
    <t>Средний поток, ед./ч</t>
  </si>
  <si>
    <t>Пиковый поток, ед./ч</t>
  </si>
  <si>
    <t>Источник производительности</t>
  </si>
  <si>
    <t>Перевозка за расчётный цикл, м</t>
  </si>
  <si>
    <t>Порожний пробег за расчётный цикл, м</t>
  </si>
  <si>
    <t>Роботов (точно)</t>
  </si>
  <si>
    <t>Число задано вручную</t>
  </si>
  <si>
    <t>Охват пикового спроса, %</t>
  </si>
  <si>
    <t>Постов диспетчера</t>
  </si>
  <si>
    <t>Численность персонала, чел.</t>
  </si>
  <si>
    <t>Высвобождается ставок</t>
  </si>
  <si>
    <t>ФОТ как есть, ₽/год</t>
  </si>
  <si>
    <t>ФОТ оставшегося персонала, ₽/год</t>
  </si>
  <si>
    <t>Персонал эксплуатации, ₽/год</t>
  </si>
  <si>
    <t>Примечание</t>
  </si>
  <si>
    <t>паллет/ч</t>
  </si>
  <si>
    <t>цикл</t>
  </si>
  <si>
    <t>Статья</t>
  </si>
  <si>
    <t>Сумма, ₽</t>
  </si>
  <si>
    <t>Формула</t>
  </si>
  <si>
    <t>Подстановка</t>
  </si>
  <si>
    <t>Происхождение</t>
  </si>
  <si>
    <t>Итого CAPEX</t>
  </si>
  <si>
    <t>Оборудование (роботы)</t>
  </si>
  <si>
    <t>N × цена робота</t>
  </si>
  <si>
    <t>6 × 2 700 000 ₽</t>
  </si>
  <si>
    <t>Базовые данные</t>
  </si>
  <si>
    <t>Зарядные станции</t>
  </si>
  <si>
    <t>C × цена зарядной станции</t>
  </si>
  <si>
    <t>2 × 300 000 ₽</t>
  </si>
  <si>
    <t>Открытый источник</t>
  </si>
  <si>
    <t>Инфраструктура площадки (разметка, Wi-Fi)</t>
  </si>
  <si>
    <t>площадь активной зоны × удельная стоимость инфраструктуры (для мобильных роботов)</t>
  </si>
  <si>
    <t>5 000 м² × 150 ₽/м²</t>
  </si>
  <si>
    <t>ПО управления парком</t>
  </si>
  <si>
    <t>разовая цена ПО из карточки продукта, иначе норматив на объект</t>
  </si>
  <si>
    <t>1 000 000 ₽ (карточка Ronavi H1500 (грузоподъемность до 1 500 кг))</t>
  </si>
  <si>
    <t>Интеграция с WMS/ERP</t>
  </si>
  <si>
    <t>стоимость внедрения из карточки продукта, иначе норматив на объект</t>
  </si>
  <si>
    <t>1 250 000 ₽ (карточка Ronavi H1500 (грузоподъемность до 1 500 кг))</t>
  </si>
  <si>
    <t>Пусконаладка</t>
  </si>
  <si>
    <t>N × пусконаладка на один робот</t>
  </si>
  <si>
    <t>6 × 100 000 ₽</t>
  </si>
  <si>
    <t>Открытый источник (аналог: Вейбот Роботикс (Клинботикс))</t>
  </si>
  <si>
    <t>Обучение персонала</t>
  </si>
  <si>
    <t>стоимость обучения из карточки продукта, иначе норматив на объект</t>
  </si>
  <si>
    <t>150 000 ₽ (норматив на объект)</t>
  </si>
  <si>
    <t>Резерв (10 %)</t>
  </si>
  <si>
    <t>доля резерва CAPEX × сумма остальных статей CAPEX, кроме фиксированной доплаты первого месяца RaaS</t>
  </si>
  <si>
    <t>10 % × 20 550 000 ₽</t>
  </si>
  <si>
    <t>входит в подписку</t>
  </si>
  <si>
    <t>Наш выбор (входит в подписку (допущение — проверить в договоре))</t>
  </si>
  <si>
    <t>входит в подписку (допущение — проверить в договоре)</t>
  </si>
  <si>
    <t>10 % × 1 400 000 ₽</t>
  </si>
  <si>
    <t>ФОТ персонала процессов («Как есть»)</t>
  </si>
  <si>
    <t>Σ численность × c по процессам охвата сравнения</t>
  </si>
  <si>
    <t>20 × 1 874 880 ₽ = 37 497 600 ₽</t>
  </si>
  <si>
    <t>Итого OPEX в год</t>
  </si>
  <si>
    <t>Сервисное обслуживание</t>
  </si>
  <si>
    <t>N × сервис за робота в год (из карточки продукта, иначе доля сервиса × цена)</t>
  </si>
  <si>
    <t>6 × 300 000 ₽</t>
  </si>
  <si>
    <t>Лицензии ПО</t>
  </si>
  <si>
    <t>годовая плата за ПО из карточки продукта (на объект), иначе 0</t>
  </si>
  <si>
    <t>годовая плата за ПО не опубликована — принято 0</t>
  </si>
  <si>
    <t>Оценка (проверить в договоре: годовая лицензия может быть платной)</t>
  </si>
  <si>
    <t>Электроэнергия</t>
  </si>
  <si>
    <t>N × средняя мощность робота × Hгод × U × тариф</t>
  </si>
  <si>
    <t>6 × 0,4 кВт × 8 030 ч × 0,775 × 9 ₽/кВт·ч</t>
  </si>
  <si>
    <t>Связь и сеть</t>
  </si>
  <si>
    <t>N × связь на один робот в год</t>
  </si>
  <si>
    <t>6 × 12 000 ₽</t>
  </si>
  <si>
    <t>Расходные материалы</t>
  </si>
  <si>
    <t>N × расходники за робота в год (из карточки продукта, иначе доля × цена)</t>
  </si>
  <si>
    <t>6 × 1 % × 2 700 000 ₽</t>
  </si>
  <si>
    <t>Ремонт вне сервисного договора</t>
  </si>
  <si>
    <t>доля ремонта в год × стоимость оборудования</t>
  </si>
  <si>
    <t>2 % × 16 200 000 ₽</t>
  </si>
  <si>
    <t>Замена АКБ (в среднем за год)</t>
  </si>
  <si>
    <t>N × стоимость комплекта АКБ / срок замены; в денежном потоке — замена по возрасту оборудования, новая техника включает новую АКБ</t>
  </si>
  <si>
    <t>6 × 10 % × 2 700 000 ₽ / 4 г.</t>
  </si>
  <si>
    <t>Персонал эксплуатации (диспетчер парка)</t>
  </si>
  <si>
    <t>посты = ⌈N / роботов на пост⌉; посты × Hсут × дней в году / фонд ставки в год × c</t>
  </si>
  <si>
    <t>1 пост × 22 ч × 365 дн. / 1 973 ч × 1 874 880 ₽</t>
  </si>
  <si>
    <t>ФОТ оставшегося персонала процесса</t>
  </si>
  <si>
    <t>ФОТост = H × c − F × c × μ</t>
  </si>
  <si>
    <t>20 × 1 874 880 ₽ − 9,5 × 1 874 880 ₽ × 1</t>
  </si>
  <si>
    <t>Расчёт (Оценочная доля денежной реализации высвобождаемого ФОТ: 100 %; FTE — трудоёмкость, не сокращённый штат)</t>
  </si>
  <si>
    <t>Подписка RaaS</t>
  </si>
  <si>
    <t>N × 12 × ставка за робота в месяц</t>
  </si>
  <si>
    <t>6 × 12 × 100 000 ₽</t>
  </si>
  <si>
    <t>Открытый источник (ставка «от» — нижняя граница)</t>
  </si>
  <si>
    <t>Денежный поток по сценариям (год 0 — вложения; суммы в ₽)</t>
  </si>
  <si>
    <t>Эффект года = OPEX «Как есть» − OPEX года; поток = эффект − докупка; NPV, ROI и TCO — формулы от ячеек таблицы.</t>
  </si>
  <si>
    <t>Сценарий: Как есть</t>
  </si>
  <si>
    <t>Ставка дисконтирования</t>
  </si>
  <si>
    <t>Горизонт расчёта H, лет</t>
  </si>
  <si>
    <t>Горизонт TCO T, лет</t>
  </si>
  <si>
    <t>OPEX «Как есть» по охвату сравнения, ₽/год</t>
  </si>
  <si>
    <t>OPEX сценария в среднем за год, ₽/год</t>
  </si>
  <si>
    <t>Год</t>
  </si>
  <si>
    <t>CAPEX, ₽</t>
  </si>
  <si>
    <t>OPEX, ₽</t>
  </si>
  <si>
    <t>АКБ, ₽</t>
  </si>
  <si>
    <t>Докупка, ₽</t>
  </si>
  <si>
    <t>Эффект, ₽</t>
  </si>
  <si>
    <t>Поток, ₽</t>
  </si>
  <si>
    <t>Накопленный поток, ₽</t>
  </si>
  <si>
    <t>Дисконтированный поток, ₽</t>
  </si>
  <si>
    <t>Годовой эффект в среднем, ₽/год</t>
  </si>
  <si>
    <t>Окупаемость, ROI, NPV</t>
  </si>
  <si>
    <t>не применимо: сценарий «Как есть» без вложений</t>
  </si>
  <si>
    <t>TCO за 5 лет, ₽</t>
  </si>
  <si>
    <t>TCO «Как есть» за 5 лет, ₽</t>
  </si>
  <si>
    <t>Сценарий: Покупка — Ronavi H1500</t>
  </si>
  <si>
    <t>Простой срок окупаемости, лет</t>
  </si>
  <si>
    <t>ROI валовый за 5 лет, %</t>
  </si>
  <si>
    <t>ROI чистый (ROI валовый − 100 %), %</t>
  </si>
  <si>
    <t>NPV за 5 лет, ₽</t>
  </si>
  <si>
    <t>Дисконтированная окупаемость, лет</t>
  </si>
  <si>
    <t>Изменение TCO к «Как есть», ₽</t>
  </si>
  <si>
    <t>Сценарий: Услуга (RaaS) — Ronavi H1500</t>
  </si>
  <si>
    <t>База</t>
  </si>
  <si>
    <t>Нижняя граница</t>
  </si>
  <si>
    <t>Верхняя граница</t>
  </si>
  <si>
    <t>Источник границ</t>
  </si>
  <si>
    <t>NPV при нижней, ₽</t>
  </si>
  <si>
    <t>NPV при верхней, ₽</t>
  </si>
  <si>
    <t>Размах, ₽</t>
  </si>
  <si>
    <t>Окупаемость при нижней, лет</t>
  </si>
  <si>
    <t>Окупаемость при верхней, лет</t>
  </si>
  <si>
    <t>TCO при нижней, ₽</t>
  </si>
  <si>
    <t>TCO при верхней, ₽</t>
  </si>
  <si>
    <t>Смена знака NPV</t>
  </si>
  <si>
    <t>Численность операторов погрузчиков</t>
  </si>
  <si>
    <t>типовой диапазон</t>
  </si>
  <si>
    <t>Горизонт расчёта</t>
  </si>
  <si>
    <t>Зарплата оператора погрузчика</t>
  </si>
  <si>
    <t>₽/мес</t>
  </si>
  <si>
    <t>Доля автоматизируемого труда</t>
  </si>
  <si>
    <t>доля</t>
  </si>
  <si>
    <t>норматив</t>
  </si>
  <si>
    <t>⚠ да</t>
  </si>
  <si>
    <t>Пиковый коэффициент</t>
  </si>
  <si>
    <t>коэф.</t>
  </si>
  <si>
    <t>не окупается</t>
  </si>
  <si>
    <t>Цена робота</t>
  </si>
  <si>
    <t>₽</t>
  </si>
  <si>
    <t>±20 %</t>
  </si>
  <si>
    <t>доля в год</t>
  </si>
  <si>
    <t>Сервис, ₽/год за робота</t>
  </si>
  <si>
    <t>₽/год</t>
  </si>
  <si>
    <t>Производительность робота</t>
  </si>
  <si>
    <t>Коэффициент загрузки</t>
  </si>
  <si>
    <t>Объём паллет</t>
  </si>
  <si>
    <t>Ставка RaaS</t>
  </si>
  <si>
    <t>Рассчитано, пал./ч</t>
  </si>
  <si>
    <t>Достигнуто, пал./ч</t>
  </si>
  <si>
    <t>Загрузка парка, %</t>
  </si>
  <si>
    <t>Простой, %</t>
  </si>
  <si>
    <t>Зарядка, %</t>
  </si>
  <si>
    <t>Ожидание у точек, %</t>
  </si>
  <si>
    <t>Очередь, макс.</t>
  </si>
  <si>
    <t>Ожидание p95, мин</t>
  </si>
  <si>
    <t>Узкое место</t>
  </si>
  <si>
    <t>Вердикт</t>
  </si>
  <si>
    <t>Не подтверждён: нет</t>
  </si>
  <si>
    <t>Наблюдалось клиентских заданий в пике</t>
  </si>
  <si>
    <t>Состав потока: приёмка / отгрузка / внутренние</t>
  </si>
  <si>
    <t>50 / 50 / 0 %</t>
  </si>
  <si>
    <t>Роботов в прогоне</t>
  </si>
  <si>
    <t>Загрузка в расчёте, %</t>
  </si>
  <si>
    <t>Обслужено заданий пика, %</t>
  </si>
  <si>
    <t>Минимальный устойчивый парк</t>
  </si>
  <si>
    <t>не определён</t>
  </si>
  <si>
    <t>Парк по паспортной норме</t>
  </si>
  <si>
    <t>нет нормы</t>
  </si>
  <si>
    <t>Вердикт при парке по норме</t>
  </si>
  <si>
    <t>не проверялся</t>
  </si>
  <si>
    <t>Зерно генератора</t>
  </si>
  <si>
    <t>warehouse-dense-underlift-1.9.1</t>
  </si>
  <si>
    <t>Контролируемая проверка мощности</t>
  </si>
  <si>
    <t>Единица</t>
  </si>
  <si>
    <t>Номинальный прогон — сохранённый статус</t>
  </si>
  <si>
    <t>PARTIAL</t>
  </si>
  <si>
    <t>Номинальный прогон — доставлено</t>
  </si>
  <si>
    <t>пал./ч</t>
  </si>
  <si>
    <t>Допуск по номинальной работе</t>
  </si>
  <si>
    <t>Номинальные проверки безопасности, очереди и ожидания пройдены</t>
  </si>
  <si>
    <t>Номинальный прогон: наибольшее текущее ожидание начала работы</t>
  </si>
  <si>
    <t>с</t>
  </si>
  <si>
    <t>Номинальный прогон: наибольшее непрерывное защитное ожидание</t>
  </si>
  <si>
    <t>Номинальный прогон: незавершённое задание 110</t>
  </si>
  <si>
    <t>transport; inbound; возраст 200 с; до начала работы 0 с; защитное ожидание 0 с; робот 0; носитель pod-home-475. Возраст движущегося задания сам по себе не означает нарушение.</t>
  </si>
  <si>
    <t>Номинальный прогон: незавершённое задание 111</t>
  </si>
  <si>
    <t>transport; inbound; возраст 166 с; до начала работы 0 с; защитное ожидание 0 с; носитель pod-home-277. Возраст движущегося задания сам по себе не означает нарушение.</t>
  </si>
  <si>
    <t>Номинальный прогон: незавершённое задание -112</t>
  </si>
  <si>
    <t>prefetch-pod; inbound; возраст 166 с; до начала работы 0 с; защитное ожидание 0 с; робот 3; носитель pod-home-277. Возраст движущегося задания сам по себе не означает нарушение.</t>
  </si>
  <si>
    <t>Номинальный прогон: незавершённое задание 112</t>
  </si>
  <si>
    <t>transport; outbound; возраст 98 с; до начала работы 0 с; защитное ожидание 0 с; робот 4; носитель pod-home-643. Возраст движущегося задания сам по себе не означает нарушение.</t>
  </si>
  <si>
    <t>Номинальный прогон: незавершённое задание 113</t>
  </si>
  <si>
    <t>transport; inbound; возраст 97 с; до начала работы 0 с; защитное ожидание 0 с; носитель pod-home-600. Возраст движущегося задания сам по себе не означает нарушение.</t>
  </si>
  <si>
    <t>Номинальный прогон: незавершённое задание -113</t>
  </si>
  <si>
    <t>prefetch-pod; inbound; возраст 97 с; до начала работы 0 с; защитное ожидание 0 с; робот 1; носитель pod-home-600. Возраст движущегося задания сам по себе не означает нарушение.</t>
  </si>
  <si>
    <t>Номинальный прогон: незавершённое задание 114</t>
  </si>
  <si>
    <t>transport; inbound; возраст 51 с; до начала работы 0 с; защитное ожидание 0 с; носитель pod-home-419. Возраст движущегося задания сам по себе не означает нарушение.</t>
  </si>
  <si>
    <t>Номинальный прогон: незавершённое задание -114</t>
  </si>
  <si>
    <t>prefetch-pod; inbound; возраст 51 с; до начала работы 0 с; защитное ожидание 0 с; робот 5; носитель pod-home-419. Возраст движущегося задания сам по себе не означает нарушение.</t>
  </si>
  <si>
    <t>Номинальный прогон: незавершённое задание 115</t>
  </si>
  <si>
    <t>transport; inbound; возраст 29 с; до начала работы 29 с; защитное ожидание 0 с; носитель pod-home-582. Возраст движущегося задания сам по себе не означает нарушение.</t>
  </si>
  <si>
    <t>Номинальный прогон: незавершённое задание -115</t>
  </si>
  <si>
    <t>prefetch-pod; inbound; возраст 29 с; до начала работы 29 с; защитное ожидание 0 с; носитель pod-home-582. Возраст движущегося задания сам по себе не означает нарушение.</t>
  </si>
  <si>
    <t>Сохранённый статус теста</t>
  </si>
  <si>
    <t>PASS</t>
  </si>
  <si>
    <t>Обоснование</t>
  </si>
  <si>
    <t>Целевая мощность достигнута доставками и закрытыми циклами объявленной когорты; номинальный статус не изменён</t>
  </si>
  <si>
    <t>Протокол</t>
  </si>
  <si>
    <t>periodic-110-15-120-cohort-closed-1</t>
  </si>
  <si>
    <t>Пространственная модель теста</t>
  </si>
  <si>
    <t>Короткая метка исходного входа</t>
  </si>
  <si>
    <t>fnv1a32-1bfdab14</t>
  </si>
  <si>
    <t>Короткая метка тестового входа</t>
  </si>
  <si>
    <t>fnv1a32-b782ec50</t>
  </si>
  <si>
    <t>Короткая метка исполнительного входа</t>
  </si>
  <si>
    <t>fnv1a32-d8cdfc70</t>
  </si>
  <si>
    <t>Привязка наблюдения</t>
  </si>
  <si>
    <t>Короткие метки FNV-1a32 предназначены для визуальной сверки отчётов. Полные канонические ключи сохранены в JSON проекта; сервер проверяет полные входы, а не короткие метки.</t>
  </si>
  <si>
    <t>Состав клиентского потока теста</t>
  </si>
  <si>
    <t>Приёмка 50,00%; отгрузка 50,00%; внутренние перемещения 0,00%</t>
  </si>
  <si>
    <t>Требуемая мощность исходного сценария</t>
  </si>
  <si>
    <t>Периодическая тестовая подача</t>
  </si>
  <si>
    <t>Фактически поступило в измерительное окно</t>
  </si>
  <si>
    <t>Доставлено из поступлений окна</t>
  </si>
  <si>
    <t>перевозок</t>
  </si>
  <si>
    <t>Закрыто полных циклов поступлений окна</t>
  </si>
  <si>
    <t>циклов</t>
  </si>
  <si>
    <t>Выпуск по доставкам когорты</t>
  </si>
  <si>
    <t>Выпуск по полным циклам когорты</t>
  </si>
  <si>
    <t>Начало измерения после старта</t>
  </si>
  <si>
    <t>Конец измерения после старта</t>
  </si>
  <si>
    <t>Незавершённые клиентские задания</t>
  </si>
  <si>
    <t>заданий</t>
  </si>
  <si>
    <t>Незавершённые подачи и возвраты</t>
  </si>
  <si>
    <t>Возраст старейшей незавершённой работы</t>
  </si>
  <si>
    <t>Парк / зарядки / seed теста</t>
  </si>
  <si>
    <t>6 / 2 / 1</t>
  </si>
  <si>
    <t>Границы теста</t>
  </si>
  <si>
    <t>Подача 110% — проектный запас теста. Прогрев 15 минут, измерение 120 минут. Учитываются только поступления измерительного окна с завершённой доставкой и обязательной подачей или возвратом носителя. Задания прогрева и работа после окна не дают зачёта. Номинальный прогон и его статус сохраняются отдельно. Это модельная проверка данного профиля, а не подтверждение годовой эксплуатации.</t>
  </si>
  <si>
    <t>Незавершённое задание 123</t>
  </si>
  <si>
    <t>transport; inbound; возраст 268 с; до начала работы 0 с; непрерывное защитное ожидание 0 с; робот 1; носитель pod-home-494. Возраст не является временем нарушения полного цикла.</t>
  </si>
  <si>
    <t>Незавершённое задание 125</t>
  </si>
  <si>
    <t>transport; inbound; возраст 142 с; до начала работы 0 с; непрерывное защитное ожидание 0 с; носитель pod-home-125. Возраст не является временем нарушения полного цикла.</t>
  </si>
  <si>
    <t>Незавершённое задание -125</t>
  </si>
  <si>
    <t>prefetch-pod; inbound; возраст 142 с; до начала работы 0 с; непрерывное защитное ожидание 3 с; робот 5; носитель pod-home-125; Перестроен маршрут к прямому подстеллажному заезду. Возраст не является временем нарушения полного цикла.</t>
  </si>
  <si>
    <t>Незавершённое задание 126</t>
  </si>
  <si>
    <t>transport; inbound; возраст 78 с; до начала работы 0 с; непрерывное защитное ожидание 0 с; носитель pod-home-261. Возраст не является временем нарушения полного цикла.</t>
  </si>
  <si>
    <t>Незавершённое задание -126</t>
  </si>
  <si>
    <t>prefetch-pod; inbound; возраст 78 с; до начала работы 0 с; непрерывное защитное ожидание 0 с; робот 2; носитель pod-home-261. Возраст не является временем нарушения полного цикла.</t>
  </si>
  <si>
    <t>Незавершённое задание -127</t>
  </si>
  <si>
    <t>return-pod; outbound; возраст 56 с; до начала работы 0 с; непрерывное защитное ожидание 0 с; робот 0; носитель pod-home-306. Возраст не является временем нарушения полного цикла.</t>
  </si>
  <si>
    <t>Незавершённое задание 127</t>
  </si>
  <si>
    <t>transport; outbound; возраст 15 с; до начала работы 0 с; непрерывное защитное ожидание 0 с; робот 3; носитель pod-home-71. Возраст не является временем нарушения полного цикла.</t>
  </si>
  <si>
    <t>Группа</t>
  </si>
  <si>
    <t>Норматив</t>
  </si>
  <si>
    <t>Ключ</t>
  </si>
  <si>
    <t>Значение в расчёте</t>
  </si>
  <si>
    <t>Мин</t>
  </si>
  <si>
    <t>Макс</t>
  </si>
  <si>
    <t>Зарядная станция (за штуку)</t>
  </si>
  <si>
    <t>chargerRub</t>
  </si>
  <si>
    <t>Ronavi в статье о стоимости владения: «зарядные станции (200−400 тыс. рублей каждая)». Середина 300 000 ₽ — наш выбор внутри опубликованного диапазона; дилер Stellmart продаёт станцию Ronavi Charger «от 360 000 руб.» (https://stellmart.ru/logisticheskie-roboty/ronavi-h1500/). Та же статья называет цену H1500 «около 2-3 млн рублей при покупке с учетом зарядных станций и прочей инфраструктуры», а у дилера робот («от 2 700 000 руб.», как в каталоге) и станция продаются отдельно. Поэтому станции — отдельная строка CAPEX; входят ли они в цену робота, проверяется по коммерческому предложению.</t>
  </si>
  <si>
    <t>Ronavi Robotics, статья «Как считать стоимость владения (TCO)»; дилер Stellmart, карточка Ronavi H1500 — https://stellmart.ru/logisticheskie-roboty/ronavi-h1500/; https://ronavi-robotics.ru/media/tpost/l8s0fty3m1-kak-schitat-stoimost-vladeniya-tco-logis</t>
  </si>
  <si>
    <t>Режим и загрузка</t>
  </si>
  <si>
    <t>Резерв парка сверх пиковой потребности</t>
  </si>
  <si>
    <t>reservePct</t>
  </si>
  <si>
    <t>Легенда демо-набора требует рассчитывать роботов на пиковую нагрузку с резервом 15–20 %. Середина 17,5 % — наш выбор внутри этого интервала.</t>
  </si>
  <si>
    <t>Демо-набор данных › легенда «Пиковая нагрузка» резерв 15–20 %</t>
  </si>
  <si>
    <t>Длительность пикового окна имитации</t>
  </si>
  <si>
    <t>simPeakMin</t>
  </si>
  <si>
    <t>мин</t>
  </si>
  <si>
    <t>Два часа на пиковом потоке: достаточно, чтобы проявились очередь и уход роботов на зарядку при автономности в несколько часов. Длительность — оценка. Границы 30–480 минут ограничивают правку: нулевое окно сделало бы достигнутый поток неопределённым (деление на длительность окна), а окно длиннее восьмичасовой смены затягивает прогон в браузере.</t>
  </si>
  <si>
    <t>Финансы</t>
  </si>
  <si>
    <t>Минимальный горизонт TCO</t>
  </si>
  <si>
    <t>tcoMinYears</t>
  </si>
  <si>
    <t>Методика</t>
  </si>
  <si>
    <t>Методика требует считать TCO на горизонте не менее пяти лет, поэтому TCO считается за max(горизонт расчёта, 5 лет) даже при горизонте 3 года. Верхняя граница 30 лет защищает от опечатки при правке: денежные потоки считаются по годам.</t>
  </si>
  <si>
    <t>Методика расчёта › горизонт TCO</t>
  </si>
  <si>
    <t>Коэффициент загрузки робота</t>
  </si>
  <si>
    <t>utilization</t>
  </si>
  <si>
    <t>Легенда демо-набора задаёт типовой KPI загрузки AMR 70–85 % и оговаривает, что он уже учитывает зарядку, простои и ожидание. Середина диапазона 0,775 — наш выбор внутри этого интервала; границы 0,70 и 0,85 используются в анализе чувствительности.</t>
  </si>
  <si>
    <t>Демо-набор данных › легенда «Коэффициент загрузки AMR» 70–85 %</t>
  </si>
  <si>
    <t>Коэффициент доступности робота</t>
  </si>
  <si>
    <t>availability</t>
  </si>
  <si>
    <t>Типовая загрузка уже учитывает зарядку и простои. Чтобы не учесть их дважды, доступность по умолчанию равна 1; снижать её имеет смысл только при известных простоях сверх тех, что заложены в загрузку (например, плановое обслуживание в рабочие смены).</t>
  </si>
  <si>
    <t>Формула: 1 (простои и зарядка уже внутри типового коэффициента загрузки)</t>
  </si>
  <si>
    <t>discountRate</t>
  </si>
  <si>
    <t>Наш выбор</t>
  </si>
  <si>
    <t>Ставка дисконтирования 12 % — наш выбор, а не цитата. Отражает стоимость денег для частного покупателя оборудования в рублёвой экономике: она обязана быть выше безрисковой ставки, потому что проект автоматизации рискованнее гособлигаций. Правильное значение зависит от структуры капитала конкретного покупателя: если 12 % вам не подходит, подставьте свою ставку.</t>
  </si>
  <si>
    <t>Прогрев имитации на среднем потоке</t>
  </si>
  <si>
    <t>simWarmupMin</t>
  </si>
  <si>
    <t>Первые 15 минут поток идёт со средней интенсивностью, чтобы роботы разошлись по складу и заряд распределился; эти минуты в метрики не входят. Длительность — оценка. Граница 60 минут ограничивает правку, чтобы прогон в браузере не затягивался.</t>
  </si>
  <si>
    <t>Заряд, при котором робот возвращается в работу</t>
  </si>
  <si>
    <t>chargeStopSoc</t>
  </si>
  <si>
    <t>Робот возвращается в работу при 90 % заряда: последние проценты заряжаются медленнее. Порог настраивается в системе управления парком; значение — оценка типовой настройки. Если правка сделает его не выше порога ухода, платформа поднимет его до порога ухода + 5 п.п., иначе робот метался бы между работой и зарядкой.</t>
  </si>
  <si>
    <t>Заряд, при котором робот уходит на зарядку</t>
  </si>
  <si>
    <t>chargeStartSoc</t>
  </si>
  <si>
    <t>Робот уходит на зарядку при 20 % заряда. Производители порог не публикуют, и он настраивается в системе управления парком; значение — оценка типовой настройки. Порог возврата всегда выше порога ухода минимум на 5 п.п., поэтому верхняя граница 0,95.</t>
  </si>
  <si>
    <t>Мощность одной зарядной станции</t>
  </si>
  <si>
    <t>chargerPowerKw</t>
  </si>
  <si>
    <t>Нужна только для проверки лимита электроснабжения объекта (если станции × мощность &gt; доступной мощности, в рисках сценария появляется предупреждение). Паспортная мощность станций в найденных данных не публикуется, 3 кВт — оценка порядка величины.</t>
  </si>
  <si>
    <t>Время сцепки или расцепки: тягач</t>
  </si>
  <si>
    <t>handlingSecTug</t>
  </si>
  <si>
    <t>Тягач цепляет и отцепляет тележки или прицепы; время операции производители не публикуют. 30 секунд — оценка порядка величины между подъёмным и вилочным роботом.</t>
  </si>
  <si>
    <t>Резерв CAPEX</t>
  </si>
  <si>
    <t>capexReservePct</t>
  </si>
  <si>
    <t>Легенда демо-набора включает в CAPEX резерв 10 %. Мы читаем его как 10 % от суммы остальных статей и показываем это в расчёте. Диапазон 5–20 % — наш, он ограничивает правку администратором.</t>
  </si>
  <si>
    <t>Демо-набор данных › легенда «CAPEX» резерв 10 %</t>
  </si>
  <si>
    <t>Время захвата или постановки груза: вилочный робот</t>
  </si>
  <si>
    <t>handlingSecFork</t>
  </si>
  <si>
    <t>Вилочному роботу нужно выровняться по паллете, ввести вилы и поднять груз, поэтому операция дольше, чем у подъёмного AMR. Опубликованных значений нет, 45 секунд — оценка.</t>
  </si>
  <si>
    <t>OPEX</t>
  </si>
  <si>
    <t>Средняя потребляемая мощность робота в работе</t>
  </si>
  <si>
    <t>robotAvgPowerKw</t>
  </si>
  <si>
    <t>Среднюю потребляемую мощность паллетных AMR производители в найденных открытых данных не публикуют. 0,4 кВт — оценка средней мощности с учётом движения с паллетой; уточняется по паспорту робота или замеру на объекте.</t>
  </si>
  <si>
    <t>Подбор</t>
  </si>
  <si>
    <t>Вес фактора «Данные» в балле подбора</t>
  </si>
  <si>
    <t>scoreWeightData</t>
  </si>
  <si>
    <t>Полнота и подтверждённость характеристик: продукт с неподтверждёнными числами не должен обгонять проверенный только за счёт оптимистичных данных. Вес — наш выбор.</t>
  </si>
  <si>
    <t>Вес фактора «Экономика» в балле подбора</t>
  </si>
  <si>
    <t>scoreWeightEcon</t>
  </si>
  <si>
    <t>Экономика — главный вопрос заказчика, поэтому NPV покупки весит больше всего. Веса балла — наш выбор; вклад каждого фактора показывается отдельно, чтобы с ранжированием можно было спорить по существу.</t>
  </si>
  <si>
    <t>Вес фактора «Кейсы» в балле подбора</t>
  </si>
  <si>
    <t>scoreWeightCases</t>
  </si>
  <si>
    <t>Наличие опубликованных внедрений: слабый, но полезный сигнал зрелости, поэтому вес наименьший. Вес — наш выбор; сумма весов равна 1. Если после правки сумма отличается от 1, платформа делит каждый вес на сумму, и балл остаётся в пределах 0–100; если все веса обнулены, берутся веса по умолчанию.</t>
  </si>
  <si>
    <t>Предельное ожидание задания (95-й перцентиль)</t>
  </si>
  <si>
    <t>simP95WaitMaxMin</t>
  </si>
  <si>
    <t>95 % заданий должны начинать выполняться не позже чем через 10 минут после поступления. Норматива нет; 10 минут — оценка допустимой задержки паллеты у ворот в пиковый час.</t>
  </si>
  <si>
    <t>Труд</t>
  </si>
  <si>
    <t>Годовой фонд рабочего времени одной ставки</t>
  </si>
  <si>
    <t>annualHoursPerFte</t>
  </si>
  <si>
    <t>Норма часов производственного календаря при 40-часовой неделе — уточнить по календарю года. Нужна, чтобы перевести круглосуточные посты диспетчеров в число ставок: посты × часы работы объекта в год ÷ фонд одной ставки.</t>
  </si>
  <si>
    <t>Доля скорости при движении с грузом</t>
  </si>
  <si>
    <t>loadedSpeedFactor</t>
  </si>
  <si>
    <t>Паспортная скорость обычно указывается без уточнения загрузки, а с паллетой робот движется медленнее по требованиям безопасности. Опубликованной доли нет, 0,8 — оценка; при 1,0 цикл считается по паспортной скорости в обе стороны.</t>
  </si>
  <si>
    <t>Коэффициент начислений на ФОТ</t>
  </si>
  <si>
    <t>payrollMultiplier</t>
  </si>
  <si>
    <t>Коэффициент начислений 30,2 % (страховые взносы, стандартная ставка 2024–2025) задан в демо-наборе и фиксирован для всех трёх типов объектов, поэтому не редактируется.</t>
  </si>
  <si>
    <t>Демо-набор данных › легенда «ФОТ» 30,2 %</t>
  </si>
  <si>
    <t>Вес фактора «Запас» в балле подбора</t>
  </si>
  <si>
    <t>scoreWeightMargin</t>
  </si>
  <si>
    <t>Запас по грузоподъёмности и ширине прохода: робот на пределе возможностей хуже переносит отклонения реального объекта от паспорта. Вес — наш выбор.</t>
  </si>
  <si>
    <t>Минимальная доля обслуженных заданий для подтверждения</t>
  </si>
  <si>
    <t>simServedShareMin</t>
  </si>
  <si>
    <t>Имитация подтверждает парк, если за пиковое окно обслужено не менее 97 % поступивших заданий. Отраслевого стандарта нет; порог — наша оценка, допускающая хвост заданий, поступивших в последние минуты окна.</t>
  </si>
  <si>
    <t>Инфраструктура площадки на 1 м² активной зоны</t>
  </si>
  <si>
    <t>siteInfraRubPerM2</t>
  </si>
  <si>
    <t>₽/м²</t>
  </si>
  <si>
    <t>Разметка пола, точки доступа Wi-Fi и навигационные метки на активной зоне. Удельной цены в открытых источниках нет, 150 ₽/м² — оценка; перестройка стеллажей и лифты сюда не входят и отмечаются отдельными рисками.</t>
  </si>
  <si>
    <t>Время захвата или постановки груза: подъёмный AMR</t>
  </si>
  <si>
    <t>handlingSecJacking</t>
  </si>
  <si>
    <t>Подъёмный робот подъезжает под носитель и поднимает его платформой; производители время операции не публикуют. 20 секунд на захват и столько же на постановку — оценка порядка величины для каждой операции. Одиночная физическая перевозка включает захват и постановку. Замкнутый цикл мобильного стеллажа включает два захвата и две постановки; дополнительно учитываются минимальное время манёвра и фактический выезд задним ходом.</t>
  </si>
  <si>
    <t>ПО управления парком (разово на объект)</t>
  </si>
  <si>
    <t>softwareRubPerSite</t>
  </si>
  <si>
    <t>Ronavi публикует тариф на ПО управления группой роботов (RMS): «Стоимость одной установки ПО — 1 млн рублей». Применяется, когда у продукта нет своей цены ПО; для других производителей это аналог (пометка «аналог: Ronavi»).</t>
  </si>
  <si>
    <t>Ronavi Robotics, «Информация о ПО», тарифная политика; https://ronavi-robotics.ru/software-information</t>
  </si>
  <si>
    <t>Обучение персонала (разово на объект)</t>
  </si>
  <si>
    <t>trainingRubPerSite</t>
  </si>
  <si>
    <t>Отдельную цену обучения производители не публикуют: Вейбот включает инструктаж в пусконаладку, R2Б — в аренду. 150 000 ₽ — оценка порядка величины для обучения диспетчеров и операторов на объекте.</t>
  </si>
  <si>
    <t>Запас по числу зарядных станций</t>
  </si>
  <si>
    <t>chargerSafetyFactor</t>
  </si>
  <si>
    <t>Роботы уходят на зарядку не строго по очереди: несколько из них могут разрядиться одновременно. Средняя доля времени на зарядке умножается на 1,5, чтобы очередь к станциям не становилась узким местом; значение проверяется имитацией (узкое место «зарядные станции»).</t>
  </si>
  <si>
    <t>Вес фактора «Зрелость» в балле подбора</t>
  </si>
  <si>
    <t>scoreWeightMaturity</t>
  </si>
  <si>
    <t>Серийная эксплуатация надёжнее пилота: статус из каталога учитывается отдельным фактором. Вес — наш выбор.</t>
  </si>
  <si>
    <t>Шаг чувствительности, если нет типового диапазона</t>
  </si>
  <si>
    <t>sensitivityDeltaPct</t>
  </si>
  <si>
    <t>Чувствительность считается минимум к трём параметрам, но её ширина не задана. Где есть типовой диапазон (min/max), берётся он; иначе ±20 % — наш выбор, достаточно широкий, чтобы показать смену знака, и не выходящий за правдоподобные значения.</t>
  </si>
  <si>
    <t>Тариф на электроэнергию</t>
  </si>
  <si>
    <t>electricityRubPerKwh</t>
  </si>
  <si>
    <t>₽/кВт·ч</t>
  </si>
  <si>
    <t>Тариф для юридических лиц зависит от региона, уровня напряжения и ценовой категории. 9 ₽/кВт·ч — оценка порядка величины; уточняется по договору энергоснабжения объекта.</t>
  </si>
  <si>
    <t>Граница «быстрой» окупаемости</t>
  </si>
  <si>
    <t>paybackBandFastYears</t>
  </si>
  <si>
    <t>Методика задаёт настраиваемые интервалы окупаемости «до 3 лет, 3–5 лет и более 5 лет» и не строит рекомендацию только на жёстком пороге; интервал лишь описывает результат.</t>
  </si>
  <si>
    <t>Методика расчёта › интервалы окупаемости</t>
  </si>
  <si>
    <t>Граница «долгой» окупаемости</t>
  </si>
  <si>
    <t>paybackBandSlowYears</t>
  </si>
  <si>
    <t>Верхняя граница среднего интервала «3–5 лет»; окупаемость дольше описывается как «долгая», но сценарий не отбрасывается. Если правка сделает её меньше границы «быстрой», платформа поднимет её до этой границы, чтобы интервалы не перевернулись.</t>
  </si>
  <si>
    <t>Ремонт вне сервисного договора в год, доля цены</t>
  </si>
  <si>
    <t>repairPctOfPriceYear</t>
  </si>
  <si>
    <t>Повреждения и износ, которые не покрывает сервисный договор (колёса, бамперы, датчики после столкновений). Опубликованных данных нет, 2 % цены в год — оценка; при договоре «под ключ» можно поставить 0.</t>
  </si>
  <si>
    <t>Стоимость комплекта АКБ, доля цены робота</t>
  </si>
  <si>
    <t>batteryCostPctOfPrice</t>
  </si>
  <si>
    <t>Цена АКБ не публикуется ни одним из найденных производителей. 10 % цены робота — оценка для расчёта замены АКБ; при известной цене комплекта у продукта берётся она.</t>
  </si>
  <si>
    <t>Интеграция с WMS/ERP (разово на объект)</t>
  </si>
  <si>
    <t>integrationRubPerSite</t>
  </si>
  <si>
    <t>Ronavi: «Стоимость внедрения RMS и интеграции обычно составляет от 500 тыс. до 2 млн рублей в зависимости от масштаба проекта». Середина 1,25 млн ₽ — наш выбор внутри опубликованного диапазона; для других производителей это аналог.</t>
  </si>
  <si>
    <t>Ronavi Robotics, статья «Как считать стоимость владения (TCO)»; https://ronavi-robotics.ru/media/tpost/l8s0fty3m1-kak-schitat-stoimost-vladeniya-tco-logis</t>
  </si>
  <si>
    <t>Доля труда до исключения нестандартных грузов</t>
  </si>
  <si>
    <t>laborShareAutomatable</t>
  </si>
  <si>
    <t>Доля труда до исключения нестандартных грузов: их доля затем вычитается отдельно. Уже очищенную от нестандарта долю роботизируемого времени сюда подставлять нельзя. Роботы берут горизонтальную транспортировку; размещение на верхние ярусы при потолке 10 м остаётся за погрузчиками. Какую долю работы водителей погрузчиков составляет горизонтальная перевозка, в исходных данных нет, поэтому 0,5 — оценка, а диапазон 0,3–0,7 входит в анализ чувствительности с расширением до явно выбранного значения вне этого диапазона. Допустимые значения 0–1 не являются диапазоном неопределённости; ввод не подтверждает хронометраж.</t>
  </si>
  <si>
    <t>Оценка ставки RaaS в месяц, доля цены робота</t>
  </si>
  <si>
    <t>raasMonthlyPctOfPrice</t>
  </si>
  <si>
    <t>доля в месяц</t>
  </si>
  <si>
    <t>Медиана отношения опубликованной месячной ставки RaaS к цене робота из каталога по четырём тарифам: Ronavi H1500 (от 100 000 ₽ при 2,7 млн ₽), R2Б MARK 2 SE (от 100 000 ₽ при 1,9 млн ₽), Клинботикс 400 PRO (100 000 ₽ при 1,5 млн ₽), Клинботикс 600 (120 000 ₽ при 2,31 млн ₽); у Клинботикс это ставка со второго месяца, первый месяц дороже (260 000 и 400 000 ₽). Подставляется только по явному действию пользователя, с пометкой «оценка» и предупреждением в рисках сценария.</t>
  </si>
  <si>
    <t>Ставки RaaS: Ronavi — https://robotrends.ru/robopedia/ronavi-robotics («от 100 тысяч рублей в месяц за одного робота»); R2Б — https://r2b.company/blog/promyshlennyy-robot-uborschik-zachem-on-nuzhen-i-kak-rasschitat-okupaemost, https://r2b.company/rent; Вейбот Роботикс (Клинботикс), «Покупка и аренда» — https://waybotrobotics.com/buy-rent; цены роботов — каталог; Формула: медиана(100 000/2 700 000; 100 000/1 900 000; 100 000/1 500 000; 120 000/2 310 000)</t>
  </si>
  <si>
    <t>Роботов на один пост диспетчера парка</t>
  </si>
  <si>
    <t>robotsPerOperatorPost</t>
  </si>
  <si>
    <t>Один диспетчер парка в смену следит за роботами, разбирает остановки и вызывает сервис. Сколько роботов он удерживает, производители не публикуют; 20 — оценка. Персонал эксплуатации считается физически (посты × часы работы), а не процентом от экономии.</t>
  </si>
  <si>
    <t>Сервисное обслуживание в год, доля цены робота</t>
  </si>
  <si>
    <t>servicePctOfPriceYear</t>
  </si>
  <si>
    <t>Три заявления производителей: Ronavi — «от 10 % стоимости проекта в год»; R2Б — обслуживание MARK 2 SE около 20 000 ₽/мес (≈240 000 ₽/год, ≈12,6 % цены 1,9 млн ₽); Вейбот — 30 000 ₽/мес (360 000 ₽/год, 15,6–24 % цены 2,31 и 1,5 млн ₽); цены роботов — из каталога. Берём 12 % между Ronavi и R2Б; тариф Вейбот «под ключ» с еженедельным обслуживанием задаёт верхнюю границу. Применяется, когда у продукта нет своей цены сервиса.</t>
  </si>
  <si>
    <t>Ronavi Robotics, статья «Как считать стоимость владения (TCO)»; R2Б, статья в блоге об окупаемости MARK 2 SE — https://r2b.company/blog/promyshlennyy-robot-uborschik-zachem-on-nuzhen-i-kak-rasschitat-okupaemost; Вейбот Роботикс, «Гарантия и сервис» — https://waybotrobotics.com/guarantee; цены роботов — каталог; https://ronavi-robotics.ru/media/tpost/l8s0fty3m1-kak-schitat-stoimost-vladeniya-tco-logis</t>
  </si>
  <si>
    <t>Доля простоя, при которой парк избыточен</t>
  </si>
  <si>
    <t>simOversizedIdleShare</t>
  </si>
  <si>
    <t>Если даже в пик роботы простаивают 40 % времени и больше, парк избыточен и его стоит уменьшить. Порог — наша оценка; вместе с перебором минимального парка он показывает запас.</t>
  </si>
  <si>
    <t>Начальная доля свободных мест для внутренних перемещений</t>
  </si>
  <si>
    <t>simStorageVacancyShare</t>
  </si>
  <si>
    <t>Явное модельное допущение, не измерение склада и не типовой норматив: при внутренних перемещениях эта доля существующих мест изначально свободна. Число округляется вниз. Полный склад без свободных мест не подтверждает перенос стеллажа на новое место. При отсутствии внутренних перемещений состав носителей не меняется.</t>
  </si>
  <si>
    <t>Замена АКБ, раз в</t>
  </si>
  <si>
    <t>batteryReplacementYears</t>
  </si>
  <si>
    <t>Легенда демо-набора указывает в составе OPEX замену АКБ примерно раз в 3–5 лет. Середина 4 года — наш выбор внутри интервала; если производитель публикует свой срок, берётся он.</t>
  </si>
  <si>
    <t>Демо-набор данных › легенда «OPEX» замена АКБ ~раз в 3–5 лет</t>
  </si>
  <si>
    <t>Пусконаладка на один робот</t>
  </si>
  <si>
    <t>commissioningRubPerUnit</t>
  </si>
  <si>
    <t>Вейбот Роботикс публикует «Пусконаладка от 100 000 ₽ для Cleanbotics 400 PRO и от 150 000 ₽ для Cleanbotics 600». Берём нижнюю опубликованную цену пусконаладки за робота; для складских AMR это аналог, цена конкретного интегратора может быть выше.</t>
  </si>
  <si>
    <t>Вейбот Роботикс (Клинботикс), страница «Покупка и аренда»; https://waybotrobotics.com/buy-rent</t>
  </si>
  <si>
    <t>Роботов на одну зарядную станцию (если нет данных о зарядке)</t>
  </si>
  <si>
    <t>robotsPerChargerDefault</t>
  </si>
  <si>
    <t>Применяется только когда у продукта не опубликованы автономность или время зарядки и долю времени на зарядке посчитать нельзя. Одна станция на пять роботов — оценка; расчёт с данными производителя всегда предпочтительнее.</t>
  </si>
  <si>
    <t>Срок службы робота (если производитель не публикует)</t>
  </si>
  <si>
    <t>serviceLifeYearsDefault</t>
  </si>
  <si>
    <t>Срок службы производители публикуют редко: R2Б считает выгоду MARK 2 SE при сроке службы 5 лет, в паспорте робота «Пиксель» указано 7 лет. Берём 7 лет, как в модели v1; по истечении срока внутри горизонта TCO оборудование покупается заново. Диапазон ввода явного допущения 1–10 лет — техническая граница модели, не гарантия и не подтверждённый ресурс. Для конкретного решения можно задать более короткую оценку, например 3 года; опубликованный срок из карточки имеет приоритет.</t>
  </si>
  <si>
    <t>Расходные материалы в год, доля цены</t>
  </si>
  <si>
    <t>consumablesPctOfPriceYear</t>
  </si>
  <si>
    <t>Легенда демо-набора включает расходники в OPEX, но величины не даёт. 1 % цены робота в год — оценка для складского AMR без щёток и фильтров; у уборочных роботов доля выше.</t>
  </si>
  <si>
    <t>Связь и сеть на один робот в год</t>
  </si>
  <si>
    <t>connectivityRubPerUnitYear</t>
  </si>
  <si>
    <t>Связь входит в OPEX, но ни демо-набор, ни производители цену не дают. 1 000 ₽ в месяц на робот (SIM-карта или доля обслуживания Wi-Fi, мониторинг) — оценка.</t>
  </si>
  <si>
    <t>Характеристика</t>
  </si>
  <si>
    <t>Подтверждено</t>
  </si>
  <si>
    <t>Дата</t>
  </si>
  <si>
    <t>Ссылка</t>
  </si>
  <si>
    <t>Где в источнике</t>
  </si>
  <si>
    <t>Производитель</t>
  </si>
  <si>
    <t>ООО "Ронави Роботикс"</t>
  </si>
  <si>
    <t>2026-09-22</t>
  </si>
  <si>
    <t>Каталог › №1, 66</t>
  </si>
  <si>
    <t>Наименование (модель)</t>
  </si>
  <si>
    <t>Тип решения</t>
  </si>
  <si>
    <t>AMR паллетный (подъёмный)</t>
  </si>
  <si>
    <t>2026-09-23</t>
  </si>
  <si>
    <t>Назначение</t>
  </si>
  <si>
    <t>Внутрискладская логистика; Внутрипроизводственная логистика</t>
  </si>
  <si>
    <t>Страна происхождения</t>
  </si>
  <si>
    <t>Россия</t>
  </si>
  <si>
    <t>https://ronavi-robotics.ru/catalogue/h1500</t>
  </si>
  <si>
    <t>Статус доступности</t>
  </si>
  <si>
    <t>в эксплуатации</t>
  </si>
  <si>
    <t>Грузоподъёмность</t>
  </si>
  <si>
    <t>до 1 500 кг</t>
  </si>
  <si>
    <t>Подборка примеров › Склад, Аэропорт › Ronavi H1500</t>
  </si>
  <si>
    <t>Габариты (Д × Ш × В)</t>
  </si>
  <si>
    <t>1044 × 654 × 380</t>
  </si>
  <si>
    <t>Скорость</t>
  </si>
  <si>
    <t>до 1,5 м/с</t>
  </si>
  <si>
    <t>Производительность</t>
  </si>
  <si>
    <t>80–100 паллет/ч (на робота)</t>
  </si>
  <si>
    <t>Автономность</t>
  </si>
  <si>
    <t>до 6 ч</t>
  </si>
  <si>
    <t>Точность позиционирования</t>
  </si>
  <si>
    <t>≈ 3 мм</t>
  </si>
  <si>
    <t>Навигация</t>
  </si>
  <si>
    <t>QR-метки, SLAM</t>
  </si>
  <si>
    <t>Условия эксплуатации</t>
  </si>
  <si>
    <t>+5…+25 °C, ровный промышленный пол</t>
  </si>
  <si>
    <t>Собственная масса</t>
  </si>
  <si>
    <t>250 кг</t>
  </si>
  <si>
    <t>Минимальная температура эксплуатации</t>
  </si>
  <si>
    <t>5 °C</t>
  </si>
  <si>
    <t>Максимальная температура эксплуатации</t>
  </si>
  <si>
    <t>25 °C</t>
  </si>
  <si>
    <t>Требования к полу</t>
  </si>
  <si>
    <t>перепады/препятствия на полу не более 5 мм (высота преодолеваемого препятствия)</t>
  </si>
  <si>
    <t>https://robob2b.ru/upload/iblock/2f5/ik7heolyu7ny1sqhromm4vxemfwe3632.pdf</t>
  </si>
  <si>
    <t>Минимальная ширина прохода</t>
  </si>
  <si>
    <t>0,75 м</t>
  </si>
  <si>
    <t>Время зарядки</t>
  </si>
  <si>
    <t>≈ 18 мин</t>
  </si>
  <si>
    <t>Связь</t>
  </si>
  <si>
    <t>Wi-Fi 5 ГГц 802.11 a/c/n; открытое API, полная совместимость с логистическими платформами (WMS)</t>
  </si>
  <si>
    <t>Интеграция (WMS/ERP, API)</t>
  </si>
  <si>
    <t>Цена оборудования</t>
  </si>
  <si>
    <t>2 700 000 ₽</t>
  </si>
  <si>
    <t>ПО (разово)</t>
  </si>
  <si>
    <t>1 000 000 ₽</t>
  </si>
  <si>
    <t>https://ronavi-robotics.ru/software-information</t>
  </si>
  <si>
    <t>Внедрение и интеграция</t>
  </si>
  <si>
    <t>500 000–2 000 000 ₽</t>
  </si>
  <si>
    <t>https://ronavi-robotics.ru/media/tpost/l8s0fty3m1-kak-schitat-stoimost-vladeniya-tco-logis</t>
  </si>
  <si>
    <t>≈ 300 000 ₽/год</t>
  </si>
  <si>
    <t>Модели приобретения</t>
  </si>
  <si>
    <t>покупка, лизинг, аренда / RaaS</t>
  </si>
  <si>
    <t>от 100 000 ₽/мес</t>
  </si>
  <si>
    <t>https://robotrends.ru/robopedia/ronavi-robotics</t>
  </si>
  <si>
    <t>5 лет, но только для Ronavi H2000 (этот PDF и есть паспорт H2000). Данных по H1500 на странице нет, в том числе про ≥2000 циклов.</t>
  </si>
  <si>
    <t>https://robob2b.ru/upload/iblock/a34/rbxhakrl7mzsarwb0sxjscpd2iwea2h1.pdf</t>
  </si>
  <si>
    <t>Процессы и типы объектов</t>
  </si>
  <si>
    <t>Перемещение паллет: приёмка → хранение → отгрузка (склад)</t>
  </si>
  <si>
    <t>Кейсы внедрения</t>
  </si>
  <si>
    <t>Внедрено 48 роботов на складах ГК «Восток-Сервис» для транспортировки грузов между зонами хранения. В результате производительность выросла вдвое - с 4 до 8 тысяч отгрузок за смену, количество ошибок…</t>
  </si>
  <si>
    <t>Основной источник</t>
  </si>
  <si>
    <t>Дата проверки</t>
  </si>
  <si>
    <t>Подтверждение</t>
  </si>
  <si>
    <t>9 из 31 подтверждены; строка сводной таблицы исследования: да</t>
  </si>
  <si>
    <t>Источники параметров объекта — на листе «Параметры объекта», нормативов — на листе «Нормативы и допущения».</t>
  </si>
  <si>
    <t>Пользователь</t>
  </si>
  <si>
    <t>Что изменено</t>
  </si>
  <si>
    <t>Авто</t>
  </si>
  <si>
    <t>Было</t>
  </si>
  <si>
    <t>Стало</t>
  </si>
  <si>
    <t>Причина</t>
  </si>
  <si>
    <t>Корректировок в журнале нет</t>
  </si>
  <si>
    <t>О расчёте</t>
  </si>
  <si>
    <t>Версии</t>
  </si>
  <si>
    <t>Версия данных проекта (по снимкам продуктов и нормативов)</t>
  </si>
  <si>
    <t>Текущий демо-набор данных</t>
  </si>
  <si>
    <t>2026-09-22#4be0fac8</t>
  </si>
  <si>
    <t>Текущий каталог</t>
  </si>
  <si>
    <t>2026-09-22#da43c64c</t>
  </si>
  <si>
    <t>Текущая подборка примеров решений</t>
  </si>
  <si>
    <t>2026-09-22#6e738822</t>
  </si>
  <si>
    <t>Исследование открытых источников</t>
  </si>
  <si>
    <t>сводная таблица от 23.09.2026 и 6 пакетов находок, зафиксировано 23.09.2026 21:13 UTC</t>
  </si>
  <si>
    <t>Как устроен файл</t>
  </si>
  <si>
    <t>Числа — результат сохранённого расчёта платформы. Итоги CAPEX и OPEX, эффект и поток каждого года, окупаемость, ROI, NPV и TCO записаны живыми формулами Excel от ячеек таблиц: при изменении ячейки итоги пересчитываются.</t>
  </si>
  <si>
    <t>NPV записан как «поток года 0 + NPV(ставка; потоки лет 1…H)»: функция Excel NPV дисконтирует уже первое значение диапазона, поэтому вложения года 0 прибавляются отдельно.</t>
  </si>
  <si>
    <t>В русском Excel аргументы формул разделяются «;», а в файле хранятся через «,» — Excel покажет их сам.</t>
  </si>
  <si>
    <t>⚠ — решение добавлено в сравнение вручную, хотя подбор его исключил или не рекомендовал: проверьте причины и ограничения</t>
  </si>
  <si>
    <t>Формулы модели tz-1.0.10</t>
  </si>
  <si>
    <t>Единицы</t>
  </si>
  <si>
    <t>Источник формулы</t>
  </si>
  <si>
    <t>Часы работы объекта</t>
  </si>
  <si>
    <t>Hсут = смен в сутки × длительность смены (не более 24 ч); Hгод = Hсут × рабочих дней в году</t>
  </si>
  <si>
    <t>ч/сут; ч/год</t>
  </si>
  <si>
    <t>базовые данные</t>
  </si>
  <si>
    <t>Суточный спрос процесса</t>
  </si>
  <si>
    <t>Qсут = Σ объёмов процесса × (доля процесса / 100) × Π множителей × (1 − доля негабарита / 100)</t>
  </si>
  <si>
    <t>ед./сут</t>
  </si>
  <si>
    <t>наш выбор</t>
  </si>
  <si>
    <t>Пиковый часовой поток</t>
  </si>
  <si>
    <t>λср = Qсут / Hсут; λпик = λср × пиковый коэффициент</t>
  </si>
  <si>
    <t>ед./ч</t>
  </si>
  <si>
    <t>Паспортная производительность</t>
  </si>
  <si>
    <t>thrнорм = производительность из карточки продукта, если она на один робот или станцию, в единицах процесса и не «до X» (предел, а не типичное значение)</t>
  </si>
  <si>
    <t>Производительность по циклу на планировке объекта</t>
  </si>
  <si>
    <t>thrцикл = 3600 / (Lпорож / v + Lгруз / (v × kгруз) + tопераций). Для single-leg-pallet-1: tопераций = 2 × tзахв. Для closed-pod-1: tопераций = (2 − dвнутр) / 2 × [2H + 2 × (2H/3 + max(H/3; 2/v))], H = max(6; tзахв), dвнутр — доля внутренних клиентских перевозок. Приёмка и отгрузка включают две физические перевозки с подачей или возвратом носителя; внутренняя перестановка — одну. Lпорож и Lгруз — средние суммарные пробеги на заявку с учётом состава потока.</t>
  </si>
  <si>
    <t>ед./ч; м; м/с; с</t>
  </si>
  <si>
    <t>Принятая производительность робота</t>
  </si>
  <si>
    <t>thrэфф = значение, заданное вами, иначе min(thrнорм; thrцикл) из известных</t>
  </si>
  <si>
    <t>Число роботов</t>
  </si>
  <si>
    <t>Nточн = λпик / (thrэфф × U × A) × (1 + резерв); N = значение, заданное вами, иначе max(1; ⌈Nточн⌉)</t>
  </si>
  <si>
    <t>типовая расчётная зависимость</t>
  </si>
  <si>
    <t>Доля пикового спроса, которую закрывает парк</t>
  </si>
  <si>
    <t>κ = min(1; N × thrэфф × U × A / λпик)</t>
  </si>
  <si>
    <t>Число зарядных станций</t>
  </si>
  <si>
    <t>C = max(1; ⌈N × tзар / (автономность × 60 + tзар) × kзапас⌉); без данных о зарядке C = max(1; ⌈N / роботов на станцию⌉); для стационарных решений C = 0</t>
  </si>
  <si>
    <t>Годовая стоимость одной ставки</t>
  </si>
  <si>
    <t>c = зарплата × 12 × коэффициент начислений на ФОТ</t>
  </si>
  <si>
    <t>ФОТ персонала процесса («Как есть»)</t>
  </si>
  <si>
    <t>ФОТбаз = численность × c</t>
  </si>
  <si>
    <t>Высвобождаемые ставки</t>
  </si>
  <si>
    <t>F = численность × доля автоматизируемого труда × (1 − доля негабарита / 100) × κ (негабарит перевозят только люди, поэтому он исключён и из спроса роботов, и из высвобождаемого труда — это не двойной учёт)</t>
  </si>
  <si>
    <t>ставок</t>
  </si>
  <si>
    <t>ФОТост = (численность − F) × c</t>
  </si>
  <si>
    <t>посты = ⌈N / роботов на пост⌉; ФОТэксп = посты × Hсут × дней в году / фонд ставки в год × c</t>
  </si>
  <si>
    <t>Доставка полного внедрения</t>
  </si>
  <si>
    <t>явная разовая стоимость доставки всего сценария; 0 отдельного платежа при подтверждённом включении в цену</t>
  </si>
  <si>
    <t>Старт RaaS</t>
  </si>
  <si>
    <t>явная разовая ставка × N при оплате за робота, иначе разовая сумма за площадку; заменяет интеграцию, настройку и обучение</t>
  </si>
  <si>
    <t>Доплата первого месяца RaaS</t>
  </si>
  <si>
    <t>N × (полная ставка первого месяца − регулярная ставка); один раз в начале горизонта, без резерва</t>
  </si>
  <si>
    <t>Резерв</t>
  </si>
  <si>
    <t>оборудование + зарядные станции + инфраструктура + ПО + интеграция + пусконаладка + обучение (либо единый явно заданный старт RaaS) + разовая доплата первого месяца RaaS + явно заданная доставка + резерв</t>
  </si>
  <si>
    <t>Платформа RaaS</t>
  </si>
  <si>
    <t>12 × месячная ставка × N при оплате за робота, иначе 12 × ставка за площадку</t>
  </si>
  <si>
    <t>(численность − F) × c</t>
  </si>
  <si>
    <t>ФОТ процессов без роботов (охват сравнения)</t>
  </si>
  <si>
    <t>Σ ФОТбаз процессов охвата сравнения, которые этот сценарий не роботизирует</t>
  </si>
  <si>
    <t>OPEX за год</t>
  </si>
  <si>
    <t>сумма статей OPEX сценария</t>
  </si>
  <si>
    <t>Чистый годовой эффект</t>
  </si>
  <si>
    <t>E = OPEXкак есть − OPEXсценария (охват сравнения один для всех сценариев)</t>
  </si>
  <si>
    <t>Простой срок окупаемости</t>
  </si>
  <si>
    <t>PB = CAPEX / E при E &gt; 0</t>
  </si>
  <si>
    <t>ROI = Σ CFt (t = 1…H) / CAPEX × 100 %, при CAPEX &gt; 0</t>
  </si>
  <si>
    <t>ROIчист = ROI валовый − 100 % (доход сверх возврата вложений)</t>
  </si>
  <si>
    <t>Чистая приведённая стоимость (NPV)</t>
  </si>
  <si>
    <t>NPV = Σ CFt / (1 + r)^t, t = 0…H</t>
  </si>
  <si>
    <t>Дисконтированный срок окупаемости</t>
  </si>
  <si>
    <t>год, в котором накопленный дисконтированный поток становится неотрицательным и остаётся таким до конца горизонта H</t>
  </si>
  <si>
    <t>Совокупная стоимость владения (TCO)</t>
  </si>
  <si>
    <t>TCO = CAPEX + Σ (OPEXt + докупкаt), t = 1…T; T = max(H; минимальный горизонт TCO)</t>
  </si>
  <si>
    <t>Денежный поток года</t>
  </si>
  <si>
    <t>CF0 = −CAPEX; CFt = OPEXкак есть − OPEXt − докупкаt</t>
  </si>
  <si>
    <t>Замена АКБ в году t</t>
  </si>
  <si>
    <t>a = t mod срок службы; АКБt = N × стоимость комплекта, если a &gt; 0, a кратно сроку замены и t &lt; T; OPEXt = OPEX − АКБср + АКБt</t>
  </si>
  <si>
    <t>Докупка оборудования</t>
  </si>
  <si>
    <t>докупкаt = N × цена, если t кратно сроку службы и t &lt; T (только оборудование)</t>
  </si>
  <si>
    <t>Пороговая зарплата</t>
  </si>
  <si>
    <t>зарплата, при которой NPV покупки = 0; NPV линеен по зарплате, поэтому порог находится по двум расчётам</t>
  </si>
  <si>
    <t>Ограничения модели</t>
  </si>
  <si>
    <t>Аналитическая производительность по циклу рассчитана для свободного маршрута. Для замкнутого цикла мобильного стеллажа closed-pod-1 выполнение нагрузки проверяется одной пространственной моделью: подача, подхват, перевозка, возврат, корпуса, встречное движение, защитные остановки и объезды. Для одиночной перевозки вилочным роботом или тягачом single-leg-pallet-1 используется аналитическая 2D-имитация очередей к точкам и зарядке; пространственную безопасность она не проверяет. Каждый результат относится к указанным входу и версии. Только при явном входе pedestrians-1 добавляется учебная модель пешеходного перехода с оценочным торможением и запасом на реакцию; в остальных входах люди не моделируются. Произвольное поведение людей, реальная задержка датчиков и промышленная безопасность не подтверждаются.</t>
  </si>
  <si>
    <t>Перевозка и порожний пробег рассчитаны по маршрутам указанной планировки и долям приёмки, отгрузки и внутренних перемещений. В closed-pod-1 приёмка и отгрузка включают две физические перевозки с подачей или возвратом носителя, внутренняя перестановка — одну перевозку между местами хранения. Служебные подачи и возвраты не добавляют клиентских паллет к выпуску. Без явного плана используется типовая геометрия; переданный план использует собственные стены, препятствия и граф. Демонстрационная планировка не является обследованным объектом.</t>
  </si>
  <si>
    <t>Для внутренних перестановок начальная доля свободных мест задаётся нормативом simStorageVacancyShare (по умолчанию 10%, явная оценка, не обследование склада). Число свободных мест округляется вниз. Стеллаж резервирует свободное назначение и после перевозки освобождает исходное место; при нулевой свободной ёмкости перенос не подтверждается. Товарные остатки и наличие конкретной номенклатуры не моделируются.</t>
  </si>
  <si>
    <t>Пространственный результат зависит от правил диспетчера: у станции одно физическое место для носителя, допускается не более двух незавершённых намерений подачи с учётом находящегося там носителя. Это ограничение очереди модели, а не два места разгрузки. При ожидающем вывозе стоящего носителя последний доступный робот не назначается на новую подачу; задание вывоза доступно за пределами обычного окна поиска очереди. Невыполнение потока требует разбора маршрутов, ожиданий и диспетчеризации и само по себе не доказывает нехватку роботов или невозможность другой стратегии управления.</t>
  </si>
  <si>
    <t>Если за окно имитации не поступило клиентских заявок, нагрузка получает статус NOT_EVALUATED: нет наблюдений для подтверждения потока, минимального парка или пилота. Увеличьте окно или проверьте воспроизводимый нагруженный сценарий. Исторические входы без состава потока используют прежнее допущение 50/50 приёмки и отгрузки.</t>
  </si>
  <si>
    <t>Стоимость существующего парка погрузчиков и его обслуживания в исходных данных не задана, поэтому её экономия в эффект не входит — эффект занижен, оценка консервативна.</t>
  </si>
  <si>
    <t>По умолчанию состав подписки RaaS принят по допущению: оборудование, зарядные станции, ПО, сервис, ремонт, расходники и замена АКБ входят в ставку; интеграция и обучение оплачиваются отдельно. Состав конкретного сценария уточняется в его комплектации. Для полного внедрения принят договор на 12 месяцев с ежегодным продлением на весь расчётный период по неизменной месячной ставке, без выкупа оборудования. Это условия модели, не подтверждённый договор поставщика. Короткий пилот требует отдельного соглашения; его бюджет не означает согласия поставщика на помесячный пилот.</t>
  </si>
  <si>
    <t>Цены оборудования из каталога приняты с НДС. Пусконаладка и интеграция по умолчанию считаются отдельными статьями CAPEX; включение в поставку задаётся в комплектации сценария. Доставка полного внедрения задаётся отдельной разовой суммой с источником либо явным включением в уже учтённую цену. Без этих данных доставка не оценена и исключена из CAPEX, о чём выводится предупреждение. Общий резерв начисляется один раз на известные статьи, включая отдельно заданную доставку; он не заменяет оценку доставки. Доставка и возврат в смете пилота считаются независимо и не переносятся автоматически в полное внедрение.</t>
  </si>
  <si>
    <t>Часть статей CAPEX и OPEX — оценки или нормативы-аналоги другого производителя (пометка «аналог: …»); у каждой такой статьи показано происхождение и обоснование.</t>
  </si>
  <si>
    <t>Дополнительный доход и предотвращённые потери (брак, травматизм, текучесть персонала) в годовой эффект не включены — только сокращение текущих затрат за вычетом дополнительного OPEX.</t>
  </si>
  <si>
    <t>Налог на прибыль, амортизация, лизинг и инфляция не моделируются: денежные потоки считаются в ценах расчёта без индексации.</t>
  </si>
  <si>
    <t>Остаточная стоимость по умолчанию равна 0. Явно заданная чистая сумма от собственных активов учитывается один раз в конце TCO-периода T, уменьшает TCO и входит в NPV только при горизонте H ≥ T. Замены оборудования учитываются отдельно; переход через срок службы может менять NPV и вывод немонотонно. Цена продажи требует подтверждения.</t>
  </si>
  <si>
    <t>Экономика рассчитывается для перемещения паллет на складе; остальные процессы и типы объектов показаны на уровне параметров, подбора и доступных решений (прототип).</t>
  </si>
  <si>
    <t>Решение</t>
  </si>
  <si>
    <t>Сведения</t>
  </si>
  <si>
    <t>Источник и границы</t>
  </si>
  <si>
    <t>Область применения</t>
  </si>
  <si>
    <t>Горизонтальное перемещение паллет, мобильных стеллажей и тележек.</t>
  </si>
  <si>
    <t>Сохранённый методический шаблон платформы; implementation-guide-3. Условия и пороги согласовать для объекта.</t>
  </si>
  <si>
    <t>Узкие места</t>
  </si>
  <si>
    <t>Совместимость опор и нижнего просвета носителя с подъёмной платформой; центр тяжести и масса полного груза.</t>
  </si>
  <si>
    <t>Плотность хранения, места временной постановки, встречные потоки и очереди у станций.</t>
  </si>
  <si>
    <t>Подготовка объекта</t>
  </si>
  <si>
    <t>Измерить носитель, проёмы и рабочие проходы; отметить свободные позиции и станции на плане в метрах.</t>
  </si>
  <si>
    <t>Согласовать выдачу заданий из WMS и полный цикл: подача → обработка → возврат пустого носителя.</t>
  </si>
  <si>
    <t>Приёмка пилота</t>
  </si>
  <si>
    <t>Считать только завершённые клиентские перевозки; служебные подачи и возвраты учитывать отдельно.</t>
  </si>
  <si>
    <t>Измерить поток и p95 до начала обработки в пик, простои и долю вмешательств; проверить возврат того же носителя.</t>
  </si>
  <si>
    <t>Эксплуатация и отказы</t>
  </si>
  <si>
    <t>Перед сменой проверить опоры носителей, крепление груза, доступность станций и зарядок.</t>
  </si>
  <si>
    <t>При блокировке сохранить ID робота, носителя, задания и время; восстановление выполнять по инструкции поставщика.</t>
  </si>
  <si>
    <t>Шаги заказчика</t>
  </si>
  <si>
    <t>До пилота утвердить границы участка, исходную ручную базу, целевой результат и правила приёмки.</t>
  </si>
  <si>
    <t>Назначить владельца процесса и оператора; согласовать время реакции, выезд, запчасти и стоимость простоя в договоре.</t>
  </si>
  <si>
    <t>После пилота сравнить принятый результат и полные затраты с моделью; масштабировать по измеренным ограничениям.</t>
  </si>
  <si>
    <t>Организация сервиса</t>
  </si>
  <si>
    <t>Ronavi Robotics: Производитель и внедрение логистических роботов. Поддержка по России заявлена поставщиком; выезд на конкретный объект согласовать.</t>
  </si>
  <si>
    <t>Публичные сведения; договор на объект не подтверждён; проверено 2026-10-18; https://ronavi-robotics.ru/about</t>
  </si>
  <si>
    <t>Контакт сервиса</t>
  </si>
  <si>
    <t>https://ronavi-robotics.ru/about</t>
  </si>
  <si>
    <t>Сроки сервиса</t>
  </si>
  <si>
    <t>Реакция: не опубликована; согласовать в договоре. Выезд: не опубликован; согласовать для адреса объекта.</t>
  </si>
  <si>
    <t>Спецификация производителя</t>
  </si>
  <si>
    <t>Ronavi H1500: назначение и технические характеристики. Перемещение паллет, мобильных стеллажей, тележек и конвейерных модулей; опубликованы масса, габариты, нагрузка, навигация и связь.</t>
  </si>
  <si>
    <t>https://ronavi-robotics.ru/catalogue/h1500; проверено 2026-10-18; Ronavi Robotics; модели: Ronavi H1500</t>
  </si>
  <si>
    <t>Разделы материала</t>
  </si>
  <si>
    <t>Технические характеристики Ronavi H1500; Назначение и интеграция с WMS/MES</t>
  </si>
  <si>
    <t>Границы материала</t>
  </si>
  <si>
    <t>Публичная спецификация не заменяет руководство эксплуатации, обследование объекта или согласованную программу испытаний.</t>
  </si>
  <si>
    <t>Проезд 750 мм указан для робота; пригодность прохода для полного носителя и встречного движения этим не доказана. До 10 ч относится к окну заряда 80–20%, а не к гарантированной смене.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</si>
</sst>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 &quot;₽&quot;"/>
    <numFmt numFmtId="165" formatCode="0.0"/>
    <numFmt numFmtId="166" formatCode="0.0 &quot;%&quot;"/>
    <numFmt numFmtId="167" formatCode="#,##0.0"/>
    <numFmt numFmtId="168" formatCode="0.0%"/>
  </numFmts>
  <fonts count="5" x14ac:knownFonts="1">
    <font>
      <color theme="1"/>
      <family val="2"/>
      <scheme val="minor"/>
      <sz val="11"/>
      <name val="Calibri"/>
    </font>
    <font>
      <b/>
      <sz val="14"/>
    </font>
    <font>
      <b/>
    </font>
    <font>
      <b/>
      <sz val="12"/>
    </font>
    <font>
      <b/>
      <i/>
    </font>
  </fonts>
  <fills count="5">
    <fill>
      <patternFill patternType="none"/>
    </fill>
    <fill>
      <patternFill patternType="gray125"/>
    </fill>
    <fill>
      <patternFill patternType="solid">
        <fgColor rgb="FFD9E2F3"/>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alignment vertical="top"/>
    </xf>
    <xf numFmtId="0" fontId="0" fillId="0" borderId="0" xfId="0" applyAlignment="1">
      <alignment vertical="top" wrapText="1"/>
    </xf>
    <xf numFmtId="0" fontId="0" fillId="0" borderId="0" xfId="0" applyAlignment="1">
      <alignment vertical="top"/>
    </xf>
    <xf numFmtId="0" fontId="3" fillId="0" borderId="0" xfId="0" applyFont="1"/>
    <xf numFmtId="0" fontId="2" fillId="2" borderId="0" xfId="0" applyFont="1" applyFill="1" applyAlignment="1">
      <alignment vertical="center" wrapText="1"/>
    </xf>
    <xf numFmtId="164" fontId="0" fillId="0" borderId="0" xfId="0" applyNumberFormat="1"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4" fillId="3" borderId="0" xfId="0" applyFont="1" applyFill="1"/>
    <xf numFmtId="0" fontId="0" fillId="3" borderId="0" xfId="0" applyFill="1" applyAlignment="1">
      <alignment vertical="top"/>
    </xf>
    <xf numFmtId="167" fontId="0" fillId="0" borderId="0" xfId="0" applyNumberFormat="1" applyAlignment="1">
      <alignment vertical="top"/>
    </xf>
    <xf numFmtId="3" fontId="0" fillId="0" borderId="0" xfId="0" applyNumberFormat="1" applyAlignment="1">
      <alignment vertical="top"/>
    </xf>
    <xf numFmtId="164" fontId="0" fillId="0" borderId="0" xfId="0" applyNumberFormat="1" applyAlignment="1">
      <alignment vertical="top"/>
    </xf>
    <xf numFmtId="165" fontId="0" fillId="0" borderId="0" xfId="0" applyNumberFormat="1" applyAlignment="1">
      <alignment vertical="top"/>
    </xf>
    <xf numFmtId="4" fontId="0" fillId="0" borderId="0" xfId="0" applyNumberFormat="1" applyAlignment="1">
      <alignment vertical="top"/>
    </xf>
    <xf numFmtId="0" fontId="2" fillId="0" borderId="0" xfId="0" applyFont="1"/>
    <xf numFmtId="164" fontId="2" fillId="0" borderId="0" xfId="0" applyNumberFormat="1" applyFont="1" applyAlignment="1">
      <alignment vertical="top"/>
    </xf>
    <xf numFmtId="168" fontId="0" fillId="0" borderId="0" xfId="0" applyNumberFormat="1" applyAlignment="1">
      <alignment vertical="top"/>
    </xf>
    <xf numFmtId="0" fontId="2" fillId="0" borderId="0" xfId="0" applyFont="1" applyAlignment="1">
      <alignment vertical="top" wrapText="1"/>
    </xf>
    <xf numFmtId="166" fontId="0" fillId="0" borderId="0" xfId="0" applyNumberFormat="1" applyAlignment="1">
      <alignment vertical="top"/>
    </xf>
    <xf numFmtId="0" fontId="0" fillId="4"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hyperlink" Target="https://ronavi-robotics.ru/catalogue/h1500" TargetMode="External"/><Relationship Id="rId2" Type="http://schemas.openxmlformats.org/officeDocument/2006/relationships/hyperlink" Target="https://robob2b.ru/upload/iblock/2f5/ik7heolyu7ny1sqhromm4vxemfwe3632.pdf" TargetMode="External"/><Relationship Id="rId3" Type="http://schemas.openxmlformats.org/officeDocument/2006/relationships/hyperlink" Target="https://ronavi-robotics.ru/catalogue/h1500" TargetMode="External"/><Relationship Id="rId4" Type="http://schemas.openxmlformats.org/officeDocument/2006/relationships/hyperlink" Target="https://ronavi-robotics.ru/catalogue/h1500" TargetMode="External"/><Relationship Id="rId5" Type="http://schemas.openxmlformats.org/officeDocument/2006/relationships/hyperlink" Target="https://ronavi-robotics.ru/catalogue/h1500" TargetMode="External"/><Relationship Id="rId6" Type="http://schemas.openxmlformats.org/officeDocument/2006/relationships/hyperlink" Target="https://ronavi-robotics.ru/software-information" TargetMode="External"/><Relationship Id="rId7" Type="http://schemas.openxmlformats.org/officeDocument/2006/relationships/hyperlink" Target="https://ronavi-robotics.ru/media/tpost/l8s0fty3m1-kak-schitat-stoimost-vladeniya-tco-logis" TargetMode="External"/><Relationship Id="rId8" Type="http://schemas.openxmlformats.org/officeDocument/2006/relationships/hyperlink" Target="https://ronavi-robotics.ru/media/tpost/l8s0fty3m1-kak-schitat-stoimost-vladeniya-tco-logis" TargetMode="External"/><Relationship Id="rId9" Type="http://schemas.openxmlformats.org/officeDocument/2006/relationships/hyperlink" Target="https://ronavi-robotics.ru/catalogue/h1500" TargetMode="External"/><Relationship Id="rId10" Type="http://schemas.openxmlformats.org/officeDocument/2006/relationships/hyperlink" Target="https://robotrends.ru/robopedia/ronavi-robotics" TargetMode="External"/><Relationship Id="rId11" Type="http://schemas.openxmlformats.org/officeDocument/2006/relationships/hyperlink" Target="https://robob2b.ru/upload/iblock/a34/rbxhakrl7mzsarwb0sxjscpd2iwea2h1.pdf" TargetMode="External"/><Relationship Id="rId12" Type="http://schemas.openxmlformats.org/officeDocument/2006/relationships/hyperlink" Target="https://ronavi-robotics.ru/catalogue/h15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FormatPr defaultRowHeight="15" outlineLevelRow="0" outlineLevelCol="0" x14ac:dyDescent="55"/>
  <cols>
    <col min="1" max="1" width="36" customWidth="1"/>
    <col min="2" max="4" width="30" customWidth="1"/>
  </cols>
  <sheetData>
    <row r="1" spans="1:1" x14ac:dyDescent="0.25">
      <c r="A1" s="1" t="s">
        <v>0</v>
      </c>
    </row>
    <row r="2" spans="1:2" x14ac:dyDescent="0.25">
      <c r="A2" s="2" t="s">
        <v>1</v>
      </c>
      <c r="B2" s="3" t="s">
        <v>2</v>
      </c>
    </row>
    <row r="3" spans="1:2" x14ac:dyDescent="0.25">
      <c r="A3" s="2" t="s">
        <v>3</v>
      </c>
      <c r="B3" s="4" t="s">
        <v>4</v>
      </c>
    </row>
    <row r="4" spans="1:2" x14ac:dyDescent="0.25">
      <c r="A4" s="2" t="s">
        <v>5</v>
      </c>
      <c r="B4" s="4" t="s">
        <v>6</v>
      </c>
    </row>
    <row r="5" spans="1:2" x14ac:dyDescent="0.25">
      <c r="A5" s="2" t="s">
        <v>7</v>
      </c>
      <c r="B5" s="4" t="s">
        <v>8</v>
      </c>
    </row>
    <row r="6" spans="1:2" x14ac:dyDescent="0.25">
      <c r="A6" s="2" t="s">
        <v>9</v>
      </c>
      <c r="B6" s="4" t="s">
        <v>10</v>
      </c>
    </row>
    <row r="7" spans="1:2" x14ac:dyDescent="0.25">
      <c r="A7" s="2" t="s">
        <v>11</v>
      </c>
      <c r="B7" s="4" t="s">
        <v>12</v>
      </c>
    </row>
    <row r="9" spans="1:1" x14ac:dyDescent="0.25">
      <c r="A9" s="5" t="s">
        <v>13</v>
      </c>
    </row>
    <row r="10" spans="1:1" x14ac:dyDescent="0.25">
      <c r="A10" s="4" t="s">
        <v>14</v>
      </c>
    </row>
    <row r="11" spans="1:1" x14ac:dyDescent="0.25">
      <c r="A11" s="4" t="s">
        <v>15</v>
      </c>
    </row>
    <row r="12" spans="1:1" x14ac:dyDescent="0.25">
      <c r="A12" s="4" t="s">
        <v>16</v>
      </c>
    </row>
    <row r="13" spans="1:1" x14ac:dyDescent="0.25">
      <c r="A13" s="4" t="s">
        <v>17</v>
      </c>
    </row>
    <row r="14" spans="1:1" x14ac:dyDescent="0.25">
      <c r="A14" s="4" t="s">
        <v>18</v>
      </c>
    </row>
    <row r="15" spans="1:1" x14ac:dyDescent="0.25">
      <c r="A15" s="4" t="s">
        <v>19</v>
      </c>
    </row>
    <row r="16" spans="1:1" x14ac:dyDescent="0.25">
      <c r="A16" s="4" t="s">
        <v>20</v>
      </c>
    </row>
    <row r="17" spans="1:1" x14ac:dyDescent="0.25">
      <c r="A17" s="4" t="s">
        <v>21</v>
      </c>
    </row>
    <row r="18" spans="1:1" x14ac:dyDescent="0.25">
      <c r="A18" s="4" t="s">
        <v>22</v>
      </c>
    </row>
    <row r="19" spans="1:1" x14ac:dyDescent="0.25">
      <c r="A19" s="4" t="s">
        <v>23</v>
      </c>
    </row>
    <row r="21" spans="1:1" x14ac:dyDescent="0.25">
      <c r="A21" s="5" t="s">
        <v>24</v>
      </c>
    </row>
    <row r="22" spans="1:4" x14ac:dyDescent="0.25">
      <c r="A22" s="6" t="s">
        <v>25</v>
      </c>
      <c r="B22" s="6" t="s">
        <v>26</v>
      </c>
      <c r="C22" s="6" t="s">
        <v>27</v>
      </c>
      <c r="D22" s="6" t="s">
        <v>28</v>
      </c>
    </row>
    <row r="23" spans="1:4" x14ac:dyDescent="0.25">
      <c r="A23" s="2" t="s">
        <v>29</v>
      </c>
      <c r="B23" s="3" t="s">
        <v>30</v>
      </c>
      <c r="C23" s="3" t="s">
        <v>31</v>
      </c>
      <c r="D23" s="3" t="s">
        <v>31</v>
      </c>
    </row>
    <row r="24" spans="1:4" x14ac:dyDescent="0.25">
      <c r="A24" s="2" t="s">
        <v>32</v>
      </c>
      <c r="B24" s="7">
        <v>0</v>
      </c>
      <c r="C24" s="7">
        <v>22605000</v>
      </c>
      <c r="D24" s="7">
        <v>1540000</v>
      </c>
    </row>
    <row r="25" spans="1:4" x14ac:dyDescent="0.25">
      <c r="A25" s="2" t="s">
        <v>33</v>
      </c>
      <c r="B25" s="7">
        <v>37497600</v>
      </c>
      <c r="C25" s="7">
        <v>30214319.27045109</v>
      </c>
      <c r="D25" s="7">
        <v>34723319.27045109</v>
      </c>
    </row>
    <row r="26" spans="1:4" x14ac:dyDescent="0.25">
      <c r="A26" s="2" t="s">
        <v>34</v>
      </c>
      <c r="B26" s="7">
        <v>37497600</v>
      </c>
      <c r="C26" s="7">
        <v>27316897.07045109</v>
      </c>
      <c r="D26" s="7">
        <v>27316897.07045109</v>
      </c>
    </row>
    <row r="27" spans="1:4" x14ac:dyDescent="0.25">
      <c r="A27" s="2" t="s">
        <v>35</v>
      </c>
      <c r="B27" s="3" t="s">
        <v>36</v>
      </c>
      <c r="C27" s="7">
        <v>7283280.729548909</v>
      </c>
      <c r="D27" s="7">
        <v>2774280.729548909</v>
      </c>
    </row>
    <row r="28" spans="1:4" x14ac:dyDescent="0.25">
      <c r="A28" s="2" t="s">
        <v>37</v>
      </c>
      <c r="B28" s="3" t="s">
        <v>36</v>
      </c>
      <c r="C28" s="8">
        <v>3.1036837435483617</v>
      </c>
      <c r="D28" s="8">
        <v>0.5550988346627777</v>
      </c>
    </row>
    <row r="29" spans="1:4" x14ac:dyDescent="0.25">
      <c r="A29" s="2" t="s">
        <v>38</v>
      </c>
      <c r="B29" s="3" t="s">
        <v>39</v>
      </c>
      <c r="C29" s="3" t="s">
        <v>40</v>
      </c>
      <c r="D29" s="3" t="s">
        <v>41</v>
      </c>
    </row>
    <row r="30" spans="1:4" x14ac:dyDescent="0.25">
      <c r="A30" s="2" t="s">
        <v>42</v>
      </c>
      <c r="B30" s="3" t="s">
        <v>36</v>
      </c>
      <c r="C30" s="9">
        <v>162.8905270857976</v>
      </c>
      <c r="D30" s="9">
        <v>900.7404966067886</v>
      </c>
    </row>
    <row r="31" spans="1:4" x14ac:dyDescent="0.25">
      <c r="A31" s="2" t="s">
        <v>43</v>
      </c>
      <c r="B31" s="3" t="s">
        <v>36</v>
      </c>
      <c r="C31" s="9">
        <v>62.8905270857976</v>
      </c>
      <c r="D31" s="9">
        <v>800.7404966067886</v>
      </c>
    </row>
    <row r="32" spans="1:4" x14ac:dyDescent="0.25">
      <c r="A32" s="2" t="s">
        <v>44</v>
      </c>
      <c r="B32" s="3" t="s">
        <v>36</v>
      </c>
      <c r="C32" s="7">
        <v>4079992.1238097674</v>
      </c>
      <c r="D32" s="7">
        <v>8460661.152502242</v>
      </c>
    </row>
    <row r="33" spans="1:4" x14ac:dyDescent="0.25">
      <c r="A33" s="2" t="s">
        <v>45</v>
      </c>
      <c r="B33" s="3" t="s">
        <v>36</v>
      </c>
      <c r="C33" s="8">
        <v>4.064766175969289</v>
      </c>
      <c r="D33" s="8">
        <v>0.621710694822311</v>
      </c>
    </row>
    <row r="34" spans="1:4" x14ac:dyDescent="0.25">
      <c r="A34" s="2" t="s">
        <v>46</v>
      </c>
      <c r="B34" s="7">
        <v>187488000</v>
      </c>
      <c r="C34" s="7">
        <v>173271596.35225546</v>
      </c>
      <c r="D34" s="7">
        <v>175156596.35225546</v>
      </c>
    </row>
    <row r="35" spans="1:4" x14ac:dyDescent="0.25">
      <c r="A35" s="2" t="s">
        <v>47</v>
      </c>
      <c r="B35" s="3" t="s">
        <v>36</v>
      </c>
      <c r="C35" s="7">
        <v>-14216403.647744536</v>
      </c>
      <c r="D35" s="7">
        <v>-12331403.647744536</v>
      </c>
    </row>
    <row r="36" spans="1:4" x14ac:dyDescent="0.25">
      <c r="A36" s="2" t="s">
        <v>48</v>
      </c>
      <c r="B36" s="3" t="s">
        <v>36</v>
      </c>
      <c r="C36" s="3" t="s">
        <v>49</v>
      </c>
      <c r="D36" s="3" t="s">
        <v>49</v>
      </c>
    </row>
    <row r="37" spans="1:4" x14ac:dyDescent="0.25">
      <c r="A37" s="2" t="s">
        <v>50</v>
      </c>
      <c r="B37" s="3" t="s">
        <v>51</v>
      </c>
      <c r="C37" s="3" t="s">
        <v>52</v>
      </c>
      <c r="D37" s="3" t="s">
        <v>53</v>
      </c>
    </row>
    <row r="38" spans="1:4" x14ac:dyDescent="0.25">
      <c r="A38" s="2" t="s">
        <v>13</v>
      </c>
      <c r="B38" s="3" t="s">
        <v>54</v>
      </c>
      <c r="C38" s="3" t="s">
        <v>55</v>
      </c>
      <c r="D38" s="3" t="s">
        <v>55</v>
      </c>
    </row>
    <row r="39" spans="1:1" x14ac:dyDescent="0.25">
      <c r="A39" s="4" t="s">
        <v>56</v>
      </c>
    </row>
    <row r="41" spans="1:1" x14ac:dyDescent="0.25">
      <c r="A41" s="5" t="s">
        <v>57</v>
      </c>
    </row>
    <row r="42" spans="1:4" x14ac:dyDescent="0.25">
      <c r="A42" s="6" t="s">
        <v>58</v>
      </c>
      <c r="B42" s="6" t="s">
        <v>59</v>
      </c>
      <c r="C42" s="6" t="s">
        <v>60</v>
      </c>
      <c r="D42" s="6" t="s">
        <v>61</v>
      </c>
    </row>
    <row r="43" spans="1:4" x14ac:dyDescent="0.25">
      <c r="A43" s="4" t="s">
        <v>27</v>
      </c>
      <c r="B43" s="4" t="s">
        <v>62</v>
      </c>
      <c r="C43" s="4" t="s">
        <v>63</v>
      </c>
      <c r="D43" s="3" t="s">
        <v>64</v>
      </c>
    </row>
    <row r="44" spans="1:4" x14ac:dyDescent="0.25">
      <c r="A44" s="4" t="s">
        <v>27</v>
      </c>
      <c r="B44" s="4" t="s">
        <v>62</v>
      </c>
      <c r="C44" s="4" t="s">
        <v>65</v>
      </c>
      <c r="D44" s="3" t="s">
        <v>66</v>
      </c>
    </row>
    <row r="45" spans="1:4" x14ac:dyDescent="0.25">
      <c r="A45" s="4" t="s">
        <v>27</v>
      </c>
      <c r="B45" s="4" t="s">
        <v>67</v>
      </c>
      <c r="C45" s="4" t="s">
        <v>68</v>
      </c>
      <c r="D45" s="3" t="s">
        <v>69</v>
      </c>
    </row>
    <row r="46" spans="1:4" x14ac:dyDescent="0.25">
      <c r="A46" s="4" t="s">
        <v>27</v>
      </c>
      <c r="B46" s="4" t="s">
        <v>67</v>
      </c>
      <c r="C46" s="4" t="s">
        <v>70</v>
      </c>
      <c r="D46" s="3" t="s">
        <v>71</v>
      </c>
    </row>
    <row r="47" spans="1:4" x14ac:dyDescent="0.25">
      <c r="A47" s="4" t="s">
        <v>27</v>
      </c>
      <c r="B47" s="4" t="s">
        <v>67</v>
      </c>
      <c r="C47" s="4" t="s">
        <v>72</v>
      </c>
      <c r="D47" s="3" t="s">
        <v>73</v>
      </c>
    </row>
    <row r="48" spans="1:4" x14ac:dyDescent="0.25">
      <c r="A48" s="4" t="s">
        <v>27</v>
      </c>
      <c r="B48" s="4" t="s">
        <v>67</v>
      </c>
      <c r="C48" s="4" t="s">
        <v>74</v>
      </c>
      <c r="D48" s="3" t="s">
        <v>75</v>
      </c>
    </row>
    <row r="49" spans="1:4" x14ac:dyDescent="0.25">
      <c r="A49" s="4" t="s">
        <v>27</v>
      </c>
      <c r="B49" s="4" t="s">
        <v>67</v>
      </c>
      <c r="C49" s="4" t="s">
        <v>74</v>
      </c>
      <c r="D49" s="3" t="s">
        <v>76</v>
      </c>
    </row>
    <row r="50" spans="1:4" x14ac:dyDescent="0.25">
      <c r="A50" s="4" t="s">
        <v>27</v>
      </c>
      <c r="B50" s="4" t="s">
        <v>67</v>
      </c>
      <c r="C50" s="4" t="s">
        <v>77</v>
      </c>
      <c r="D50" s="3" t="s">
        <v>78</v>
      </c>
    </row>
    <row r="51" spans="1:4" x14ac:dyDescent="0.25">
      <c r="A51" s="4" t="s">
        <v>27</v>
      </c>
      <c r="B51" s="4" t="s">
        <v>67</v>
      </c>
      <c r="C51" s="4" t="s">
        <v>77</v>
      </c>
      <c r="D51" s="3" t="s">
        <v>79</v>
      </c>
    </row>
    <row r="52" spans="1:4" x14ac:dyDescent="0.25">
      <c r="A52" s="4" t="s">
        <v>27</v>
      </c>
      <c r="B52" s="4" t="s">
        <v>67</v>
      </c>
      <c r="C52" s="4" t="s">
        <v>77</v>
      </c>
      <c r="D52" s="3" t="s">
        <v>80</v>
      </c>
    </row>
    <row r="53" spans="1:4" x14ac:dyDescent="0.25">
      <c r="A53" s="4" t="s">
        <v>27</v>
      </c>
      <c r="B53" s="4" t="s">
        <v>67</v>
      </c>
      <c r="C53" s="4" t="s">
        <v>77</v>
      </c>
      <c r="D53" s="3" t="s">
        <v>81</v>
      </c>
    </row>
    <row r="54" spans="1:4" x14ac:dyDescent="0.25">
      <c r="A54" s="4" t="s">
        <v>27</v>
      </c>
      <c r="B54" s="4" t="s">
        <v>67</v>
      </c>
      <c r="C54" s="4" t="s">
        <v>77</v>
      </c>
      <c r="D54" s="3" t="s">
        <v>82</v>
      </c>
    </row>
    <row r="55" spans="1:4" x14ac:dyDescent="0.25">
      <c r="A55" s="4" t="s">
        <v>27</v>
      </c>
      <c r="B55" s="4" t="s">
        <v>67</v>
      </c>
      <c r="C55" s="4" t="s">
        <v>77</v>
      </c>
      <c r="D55" s="3" t="s">
        <v>83</v>
      </c>
    </row>
    <row r="56" spans="1:4" x14ac:dyDescent="0.25">
      <c r="A56" s="4" t="s">
        <v>27</v>
      </c>
      <c r="B56" s="4" t="s">
        <v>84</v>
      </c>
      <c r="C56" s="4" t="s">
        <v>85</v>
      </c>
      <c r="D56" s="3" t="s">
        <v>86</v>
      </c>
    </row>
    <row r="57" spans="1:4" x14ac:dyDescent="0.25">
      <c r="A57" s="4" t="s">
        <v>27</v>
      </c>
      <c r="B57" s="4" t="s">
        <v>84</v>
      </c>
      <c r="C57" s="4" t="s">
        <v>87</v>
      </c>
      <c r="D57" s="3" t="s">
        <v>88</v>
      </c>
    </row>
    <row r="58" spans="1:4" x14ac:dyDescent="0.25">
      <c r="A58" s="4" t="s">
        <v>27</v>
      </c>
      <c r="B58" s="4" t="s">
        <v>84</v>
      </c>
      <c r="C58" s="4" t="s">
        <v>89</v>
      </c>
      <c r="D58" s="3" t="s">
        <v>90</v>
      </c>
    </row>
    <row r="59" spans="1:4" x14ac:dyDescent="0.25">
      <c r="A59" s="4" t="s">
        <v>27</v>
      </c>
      <c r="B59" s="4" t="s">
        <v>84</v>
      </c>
      <c r="C59" s="4" t="s">
        <v>91</v>
      </c>
      <c r="D59" s="3" t="s">
        <v>92</v>
      </c>
    </row>
    <row r="60" spans="1:4" x14ac:dyDescent="0.25">
      <c r="A60" s="4" t="s">
        <v>28</v>
      </c>
      <c r="B60" s="4" t="s">
        <v>62</v>
      </c>
      <c r="C60" s="4" t="s">
        <v>63</v>
      </c>
      <c r="D60" s="3" t="s">
        <v>64</v>
      </c>
    </row>
    <row r="61" spans="1:4" x14ac:dyDescent="0.25">
      <c r="A61" s="4" t="s">
        <v>28</v>
      </c>
      <c r="B61" s="4" t="s">
        <v>62</v>
      </c>
      <c r="C61" s="4" t="s">
        <v>65</v>
      </c>
      <c r="D61" s="3" t="s">
        <v>66</v>
      </c>
    </row>
    <row r="62" spans="1:4" x14ac:dyDescent="0.25">
      <c r="A62" s="4" t="s">
        <v>28</v>
      </c>
      <c r="B62" s="4" t="s">
        <v>67</v>
      </c>
      <c r="C62" s="4" t="s">
        <v>68</v>
      </c>
      <c r="D62" s="3" t="s">
        <v>69</v>
      </c>
    </row>
    <row r="63" spans="1:4" x14ac:dyDescent="0.25">
      <c r="A63" s="4" t="s">
        <v>28</v>
      </c>
      <c r="B63" s="4" t="s">
        <v>67</v>
      </c>
      <c r="C63" s="4" t="s">
        <v>70</v>
      </c>
      <c r="D63" s="3" t="s">
        <v>71</v>
      </c>
    </row>
    <row r="64" spans="1:4" x14ac:dyDescent="0.25">
      <c r="A64" s="4" t="s">
        <v>28</v>
      </c>
      <c r="B64" s="4" t="s">
        <v>67</v>
      </c>
      <c r="C64" s="4" t="s">
        <v>72</v>
      </c>
      <c r="D64" s="3" t="s">
        <v>73</v>
      </c>
    </row>
    <row r="65" spans="1:4" x14ac:dyDescent="0.25">
      <c r="A65" s="4" t="s">
        <v>28</v>
      </c>
      <c r="B65" s="4" t="s">
        <v>67</v>
      </c>
      <c r="C65" s="4" t="s">
        <v>93</v>
      </c>
      <c r="D65" s="3" t="s">
        <v>94</v>
      </c>
    </row>
    <row r="66" spans="1:4" x14ac:dyDescent="0.25">
      <c r="A66" s="4" t="s">
        <v>28</v>
      </c>
      <c r="B66" s="4" t="s">
        <v>67</v>
      </c>
      <c r="C66" s="4" t="s">
        <v>95</v>
      </c>
      <c r="D66" s="3" t="s">
        <v>96</v>
      </c>
    </row>
    <row r="67" spans="1:4" x14ac:dyDescent="0.25">
      <c r="A67" s="4" t="s">
        <v>28</v>
      </c>
      <c r="B67" s="4" t="s">
        <v>67</v>
      </c>
      <c r="C67" s="4" t="s">
        <v>77</v>
      </c>
      <c r="D67" s="3" t="s">
        <v>97</v>
      </c>
    </row>
    <row r="68" spans="1:4" x14ac:dyDescent="0.25">
      <c r="A68" s="4" t="s">
        <v>28</v>
      </c>
      <c r="B68" s="4" t="s">
        <v>67</v>
      </c>
      <c r="C68" s="4" t="s">
        <v>77</v>
      </c>
      <c r="D68" s="3" t="s">
        <v>98</v>
      </c>
    </row>
    <row r="69" spans="1:4" x14ac:dyDescent="0.25">
      <c r="A69" s="4" t="s">
        <v>28</v>
      </c>
      <c r="B69" s="4" t="s">
        <v>67</v>
      </c>
      <c r="C69" s="4" t="s">
        <v>77</v>
      </c>
      <c r="D69" s="3" t="s">
        <v>99</v>
      </c>
    </row>
    <row r="70" spans="1:4" x14ac:dyDescent="0.25">
      <c r="A70" s="4" t="s">
        <v>28</v>
      </c>
      <c r="B70" s="4" t="s">
        <v>84</v>
      </c>
      <c r="C70" s="4" t="s">
        <v>100</v>
      </c>
      <c r="D70" s="3" t="s">
        <v>101</v>
      </c>
    </row>
    <row r="71" spans="1:4" x14ac:dyDescent="0.25">
      <c r="A71" s="4" t="s">
        <v>28</v>
      </c>
      <c r="B71" s="4" t="s">
        <v>84</v>
      </c>
      <c r="C71" s="4" t="s">
        <v>85</v>
      </c>
      <c r="D71" s="3" t="s">
        <v>86</v>
      </c>
    </row>
    <row r="72" spans="1:4" x14ac:dyDescent="0.25">
      <c r="A72" s="4" t="s">
        <v>28</v>
      </c>
      <c r="B72" s="4" t="s">
        <v>84</v>
      </c>
      <c r="C72" s="4" t="s">
        <v>87</v>
      </c>
      <c r="D72" s="3" t="s">
        <v>88</v>
      </c>
    </row>
    <row r="73" spans="1:4" x14ac:dyDescent="0.25">
      <c r="A73" s="4" t="s">
        <v>28</v>
      </c>
      <c r="B73" s="4" t="s">
        <v>84</v>
      </c>
      <c r="C73" s="4" t="s">
        <v>89</v>
      </c>
      <c r="D73" s="3" t="s">
        <v>90</v>
      </c>
    </row>
    <row r="74" spans="1:4" x14ac:dyDescent="0.25">
      <c r="A74" s="4" t="s">
        <v>28</v>
      </c>
      <c r="B74" s="4" t="s">
        <v>84</v>
      </c>
      <c r="C74" s="4" t="s">
        <v>91</v>
      </c>
      <c r="D74" s="3" t="s">
        <v>92</v>
      </c>
    </row>
    <row r="76" spans="1:1" x14ac:dyDescent="0.25">
      <c r="A76" s="10" t="s">
        <v>102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6" customWidth="1"/>
    <col min="3" max="3" width="18" customWidth="1"/>
    <col min="4" max="4" width="12" customWidth="1"/>
    <col min="5" max="5" width="18" customWidth="1"/>
    <col min="6" max="6" width="22" customWidth="1"/>
    <col min="7" max="7" width="44" customWidth="1"/>
    <col min="8" max="8" width="50" customWidth="1"/>
  </cols>
  <sheetData>
    <row r="1" spans="1:8" x14ac:dyDescent="0.25">
      <c r="A1" s="6" t="s">
        <v>103</v>
      </c>
      <c r="B1" s="6" t="s">
        <v>104</v>
      </c>
      <c r="C1" s="6" t="s">
        <v>105</v>
      </c>
      <c r="D1" s="6" t="s">
        <v>106</v>
      </c>
      <c r="E1" s="6" t="s">
        <v>107</v>
      </c>
      <c r="F1" s="6" t="s">
        <v>108</v>
      </c>
      <c r="G1" s="6" t="s">
        <v>109</v>
      </c>
      <c r="H1" s="6" t="s">
        <v>110</v>
      </c>
    </row>
    <row r="2" spans="1:8" x14ac:dyDescent="0.25">
      <c r="A2" s="4" t="s">
        <v>111</v>
      </c>
      <c r="B2" s="4" t="s">
        <v>112</v>
      </c>
      <c r="C2" s="11">
        <v>10000</v>
      </c>
      <c r="D2" s="4" t="s">
        <v>113</v>
      </c>
      <c r="E2" s="4">
        <v>20000</v>
      </c>
      <c r="F2" s="4" t="s">
        <v>114</v>
      </c>
      <c r="G2" s="4" t="s">
        <v>115</v>
      </c>
      <c r="H2" s="4" t="s">
        <v>116</v>
      </c>
    </row>
    <row r="3" spans="1:8" x14ac:dyDescent="0.25">
      <c r="A3" s="4" t="s">
        <v>111</v>
      </c>
      <c r="B3" s="4" t="s">
        <v>117</v>
      </c>
      <c r="C3" s="11">
        <v>5000</v>
      </c>
      <c r="D3" s="4" t="s">
        <v>113</v>
      </c>
      <c r="E3" s="4">
        <v>10000</v>
      </c>
      <c r="F3" s="4" t="s">
        <v>118</v>
      </c>
      <c r="G3" s="4" t="s">
        <v>119</v>
      </c>
      <c r="H3" s="4" t="s">
        <v>116</v>
      </c>
    </row>
    <row r="4" spans="1:8" x14ac:dyDescent="0.25">
      <c r="A4" s="4" t="s">
        <v>111</v>
      </c>
      <c r="B4" s="4" t="s">
        <v>120</v>
      </c>
      <c r="C4" s="4">
        <v>10</v>
      </c>
      <c r="D4" s="4" t="s">
        <v>121</v>
      </c>
      <c r="E4" s="4">
        <v>10</v>
      </c>
      <c r="F4" s="4" t="s">
        <v>122</v>
      </c>
      <c r="G4" s="3" t="s">
        <v>123</v>
      </c>
      <c r="H4" s="4" t="s">
        <v>116</v>
      </c>
    </row>
    <row r="5" spans="1:8" x14ac:dyDescent="0.25">
      <c r="A5" s="4" t="s">
        <v>111</v>
      </c>
      <c r="B5" s="4" t="s">
        <v>124</v>
      </c>
      <c r="C5" s="4">
        <v>1</v>
      </c>
      <c r="D5" s="4" t="s">
        <v>125</v>
      </c>
      <c r="E5" s="4">
        <v>1</v>
      </c>
      <c r="F5" s="4" t="s">
        <v>126</v>
      </c>
      <c r="G5" s="3" t="s">
        <v>127</v>
      </c>
      <c r="H5" s="4" t="s">
        <v>116</v>
      </c>
    </row>
    <row r="6" spans="1:8" x14ac:dyDescent="0.25">
      <c r="A6" s="4" t="s">
        <v>111</v>
      </c>
      <c r="B6" s="4" t="s">
        <v>128</v>
      </c>
      <c r="C6" s="4">
        <v>3.5</v>
      </c>
      <c r="D6" s="4" t="s">
        <v>121</v>
      </c>
      <c r="E6" s="4">
        <v>3.5</v>
      </c>
      <c r="F6" s="4" t="s">
        <v>129</v>
      </c>
      <c r="G6" s="3" t="s">
        <v>130</v>
      </c>
      <c r="H6" s="4" t="s">
        <v>116</v>
      </c>
    </row>
    <row r="7" spans="1:8" x14ac:dyDescent="0.25">
      <c r="A7" s="4" t="s">
        <v>111</v>
      </c>
      <c r="B7" s="4" t="s">
        <v>131</v>
      </c>
      <c r="C7" s="4">
        <v>2.8</v>
      </c>
      <c r="D7" s="4" t="s">
        <v>121</v>
      </c>
      <c r="E7" s="4">
        <v>2.8</v>
      </c>
      <c r="F7" s="4" t="s">
        <v>132</v>
      </c>
      <c r="G7" s="3" t="s">
        <v>133</v>
      </c>
      <c r="H7" s="4" t="s">
        <v>116</v>
      </c>
    </row>
    <row r="8" spans="1:8" x14ac:dyDescent="0.25">
      <c r="A8" s="4" t="s">
        <v>111</v>
      </c>
      <c r="B8" s="4" t="s">
        <v>134</v>
      </c>
      <c r="C8" s="4" t="s">
        <v>135</v>
      </c>
      <c r="D8" s="4" t="s">
        <v>116</v>
      </c>
      <c r="E8" s="4" t="s">
        <v>135</v>
      </c>
      <c r="F8" s="4" t="s">
        <v>36</v>
      </c>
      <c r="G8" s="3" t="s">
        <v>136</v>
      </c>
      <c r="H8" s="4" t="s">
        <v>116</v>
      </c>
    </row>
    <row r="9" spans="1:8" x14ac:dyDescent="0.25">
      <c r="A9" s="4" t="s">
        <v>111</v>
      </c>
      <c r="B9" s="4" t="s">
        <v>137</v>
      </c>
      <c r="C9" s="4">
        <v>3</v>
      </c>
      <c r="D9" s="4" t="s">
        <v>138</v>
      </c>
      <c r="E9" s="4">
        <v>3</v>
      </c>
      <c r="F9" s="4" t="s">
        <v>139</v>
      </c>
      <c r="G9" s="3" t="s">
        <v>140</v>
      </c>
      <c r="H9" s="4" t="s">
        <v>116</v>
      </c>
    </row>
    <row r="10" spans="1:8" x14ac:dyDescent="0.25">
      <c r="A10" s="4" t="s">
        <v>141</v>
      </c>
      <c r="B10" s="4" t="s">
        <v>142</v>
      </c>
      <c r="C10" s="4">
        <v>2</v>
      </c>
      <c r="D10" s="4" t="s">
        <v>143</v>
      </c>
      <c r="E10" s="4">
        <v>2</v>
      </c>
      <c r="F10" s="4" t="s">
        <v>144</v>
      </c>
      <c r="G10" s="3" t="s">
        <v>145</v>
      </c>
      <c r="H10" s="4" t="s">
        <v>116</v>
      </c>
    </row>
    <row r="11" spans="1:8" x14ac:dyDescent="0.25">
      <c r="A11" s="4" t="s">
        <v>141</v>
      </c>
      <c r="B11" s="4" t="s">
        <v>146</v>
      </c>
      <c r="C11" s="4">
        <v>365</v>
      </c>
      <c r="D11" s="4" t="s">
        <v>147</v>
      </c>
      <c r="E11" s="4">
        <v>365</v>
      </c>
      <c r="F11" s="4" t="s">
        <v>148</v>
      </c>
      <c r="G11" s="3" t="s">
        <v>149</v>
      </c>
      <c r="H11" s="4" t="s">
        <v>116</v>
      </c>
    </row>
    <row r="12" spans="1:8" x14ac:dyDescent="0.25">
      <c r="A12" s="4" t="s">
        <v>141</v>
      </c>
      <c r="B12" s="4" t="s">
        <v>150</v>
      </c>
      <c r="C12" s="4">
        <v>11</v>
      </c>
      <c r="D12" s="4" t="s">
        <v>151</v>
      </c>
      <c r="E12" s="4">
        <v>11</v>
      </c>
      <c r="F12" s="4" t="s">
        <v>152</v>
      </c>
      <c r="G12" s="3" t="s">
        <v>153</v>
      </c>
      <c r="H12" s="4" t="s">
        <v>116</v>
      </c>
    </row>
    <row r="13" spans="1:8" x14ac:dyDescent="0.25">
      <c r="A13" s="4" t="s">
        <v>141</v>
      </c>
      <c r="B13" s="4" t="s">
        <v>154</v>
      </c>
      <c r="C13" s="11">
        <v>1.2</v>
      </c>
      <c r="D13" s="4" t="s">
        <v>116</v>
      </c>
      <c r="E13" s="4">
        <v>1.5</v>
      </c>
      <c r="F13" s="4" t="s">
        <v>155</v>
      </c>
      <c r="G13" s="4" t="s">
        <v>156</v>
      </c>
      <c r="H13" s="4" t="s">
        <v>116</v>
      </c>
    </row>
    <row r="14" spans="1:8" x14ac:dyDescent="0.25">
      <c r="A14" s="4" t="s">
        <v>157</v>
      </c>
      <c r="B14" s="4" t="s">
        <v>158</v>
      </c>
      <c r="C14" s="11">
        <v>500</v>
      </c>
      <c r="D14" s="4" t="s">
        <v>159</v>
      </c>
      <c r="E14" s="4">
        <v>1000</v>
      </c>
      <c r="F14" s="4" t="s">
        <v>160</v>
      </c>
      <c r="G14" s="4" t="s">
        <v>161</v>
      </c>
      <c r="H14" s="4" t="s">
        <v>116</v>
      </c>
    </row>
    <row r="15" spans="1:8" x14ac:dyDescent="0.25">
      <c r="A15" s="4" t="s">
        <v>157</v>
      </c>
      <c r="B15" s="4" t="s">
        <v>162</v>
      </c>
      <c r="C15" s="11">
        <v>500</v>
      </c>
      <c r="D15" s="4" t="s">
        <v>159</v>
      </c>
      <c r="E15" s="4">
        <v>1000</v>
      </c>
      <c r="F15" s="4" t="s">
        <v>160</v>
      </c>
      <c r="G15" s="4" t="s">
        <v>161</v>
      </c>
      <c r="H15" s="4" t="s">
        <v>116</v>
      </c>
    </row>
    <row r="16" spans="1:8" x14ac:dyDescent="0.25">
      <c r="A16" s="4" t="s">
        <v>157</v>
      </c>
      <c r="B16" s="4" t="s">
        <v>163</v>
      </c>
      <c r="C16" s="4">
        <v>100000</v>
      </c>
      <c r="D16" s="4" t="s">
        <v>164</v>
      </c>
      <c r="E16" s="4">
        <v>100000</v>
      </c>
      <c r="F16" s="4" t="s">
        <v>165</v>
      </c>
      <c r="G16" s="3" t="s">
        <v>166</v>
      </c>
      <c r="H16" s="4" t="s">
        <v>116</v>
      </c>
    </row>
    <row r="17" spans="1:8" x14ac:dyDescent="0.25">
      <c r="A17" s="4" t="s">
        <v>157</v>
      </c>
      <c r="B17" s="4" t="s">
        <v>167</v>
      </c>
      <c r="C17" s="4">
        <v>150000</v>
      </c>
      <c r="D17" s="4" t="s">
        <v>168</v>
      </c>
      <c r="E17" s="4">
        <v>150000</v>
      </c>
      <c r="F17" s="4" t="s">
        <v>169</v>
      </c>
      <c r="G17" s="3" t="s">
        <v>170</v>
      </c>
      <c r="H17" s="4" t="s">
        <v>116</v>
      </c>
    </row>
    <row r="18" spans="1:8" x14ac:dyDescent="0.25">
      <c r="A18" s="4" t="s">
        <v>157</v>
      </c>
      <c r="B18" s="4" t="s">
        <v>171</v>
      </c>
      <c r="C18" s="4">
        <v>30</v>
      </c>
      <c r="D18" s="4" t="s">
        <v>172</v>
      </c>
      <c r="E18" s="4">
        <v>30</v>
      </c>
      <c r="F18" s="4" t="s">
        <v>173</v>
      </c>
      <c r="G18" s="3" t="s">
        <v>174</v>
      </c>
      <c r="H18" s="4" t="s">
        <v>116</v>
      </c>
    </row>
    <row r="19" spans="1:8" x14ac:dyDescent="0.25">
      <c r="A19" s="4" t="s">
        <v>157</v>
      </c>
      <c r="B19" s="4" t="s">
        <v>175</v>
      </c>
      <c r="C19" s="4">
        <v>2000</v>
      </c>
      <c r="D19" s="4" t="s">
        <v>176</v>
      </c>
      <c r="E19" s="4">
        <v>2000</v>
      </c>
      <c r="F19" s="4" t="s">
        <v>177</v>
      </c>
      <c r="G19" s="3" t="s">
        <v>178</v>
      </c>
      <c r="H19" s="4" t="s">
        <v>116</v>
      </c>
    </row>
    <row r="20" spans="1:8" x14ac:dyDescent="0.25">
      <c r="A20" s="4" t="s">
        <v>157</v>
      </c>
      <c r="B20" s="4" t="s">
        <v>179</v>
      </c>
      <c r="C20" s="4">
        <v>20</v>
      </c>
      <c r="D20" s="4" t="s">
        <v>172</v>
      </c>
      <c r="E20" s="4">
        <v>20</v>
      </c>
      <c r="F20" s="4" t="s">
        <v>180</v>
      </c>
      <c r="G20" s="3" t="s">
        <v>181</v>
      </c>
      <c r="H20" s="4" t="s">
        <v>116</v>
      </c>
    </row>
    <row r="21" spans="1:8" x14ac:dyDescent="0.25">
      <c r="A21" s="4" t="s">
        <v>182</v>
      </c>
      <c r="B21" s="4" t="s">
        <v>183</v>
      </c>
      <c r="C21" s="4">
        <v>180</v>
      </c>
      <c r="D21" s="4" t="s">
        <v>184</v>
      </c>
      <c r="E21" s="4">
        <v>180</v>
      </c>
      <c r="F21" s="4" t="s">
        <v>185</v>
      </c>
      <c r="G21" s="3" t="s">
        <v>186</v>
      </c>
      <c r="H21" s="4" t="s">
        <v>116</v>
      </c>
    </row>
    <row r="22" spans="1:8" x14ac:dyDescent="0.25">
      <c r="A22" s="4" t="s">
        <v>182</v>
      </c>
      <c r="B22" s="4" t="s">
        <v>187</v>
      </c>
      <c r="C22" s="4">
        <v>100</v>
      </c>
      <c r="D22" s="4" t="s">
        <v>184</v>
      </c>
      <c r="E22" s="4">
        <v>100</v>
      </c>
      <c r="F22" s="4" t="s">
        <v>188</v>
      </c>
      <c r="G22" s="3" t="s">
        <v>189</v>
      </c>
      <c r="H22" s="4" t="s">
        <v>116</v>
      </c>
    </row>
    <row r="23" spans="1:8" x14ac:dyDescent="0.25">
      <c r="A23" s="4" t="s">
        <v>182</v>
      </c>
      <c r="B23" s="4" t="s">
        <v>190</v>
      </c>
      <c r="C23" s="11">
        <v>20</v>
      </c>
      <c r="D23" s="4" t="s">
        <v>184</v>
      </c>
      <c r="E23" s="4">
        <v>25</v>
      </c>
      <c r="F23" s="4" t="s">
        <v>191</v>
      </c>
      <c r="G23" s="4" t="s">
        <v>192</v>
      </c>
      <c r="H23" s="4" t="s">
        <v>116</v>
      </c>
    </row>
    <row r="24" spans="1:8" x14ac:dyDescent="0.25">
      <c r="A24" s="4" t="s">
        <v>182</v>
      </c>
      <c r="B24" s="4" t="s">
        <v>193</v>
      </c>
      <c r="C24" s="4">
        <v>20</v>
      </c>
      <c r="D24" s="4" t="s">
        <v>184</v>
      </c>
      <c r="E24" s="4">
        <v>20</v>
      </c>
      <c r="F24" s="4" t="s">
        <v>194</v>
      </c>
      <c r="G24" s="3" t="s">
        <v>195</v>
      </c>
      <c r="H24" s="4" t="s">
        <v>116</v>
      </c>
    </row>
    <row r="25" spans="1:8" x14ac:dyDescent="0.25">
      <c r="A25" s="4" t="s">
        <v>182</v>
      </c>
      <c r="B25" s="4" t="s">
        <v>196</v>
      </c>
      <c r="C25" s="4">
        <v>100000</v>
      </c>
      <c r="D25" s="4" t="s">
        <v>197</v>
      </c>
      <c r="E25" s="4">
        <v>100000</v>
      </c>
      <c r="F25" s="4" t="s">
        <v>198</v>
      </c>
      <c r="G25" s="3" t="s">
        <v>199</v>
      </c>
      <c r="H25" s="4" t="s">
        <v>116</v>
      </c>
    </row>
    <row r="26" spans="1:8" x14ac:dyDescent="0.25">
      <c r="A26" s="4" t="s">
        <v>182</v>
      </c>
      <c r="B26" s="4" t="s">
        <v>200</v>
      </c>
      <c r="C26" s="4">
        <v>120000</v>
      </c>
      <c r="D26" s="4" t="s">
        <v>197</v>
      </c>
      <c r="E26" s="4">
        <v>120000</v>
      </c>
      <c r="F26" s="4" t="s">
        <v>201</v>
      </c>
      <c r="G26" s="3" t="s">
        <v>202</v>
      </c>
      <c r="H26" s="4" t="s">
        <v>116</v>
      </c>
    </row>
    <row r="27" spans="1:8" x14ac:dyDescent="0.25">
      <c r="A27" s="4" t="s">
        <v>182</v>
      </c>
      <c r="B27" s="3" t="s">
        <v>203</v>
      </c>
      <c r="C27" s="4">
        <v>1.302</v>
      </c>
      <c r="D27" s="4" t="s">
        <v>116</v>
      </c>
      <c r="E27" s="4">
        <v>1.302</v>
      </c>
      <c r="F27" s="4" t="s">
        <v>204</v>
      </c>
      <c r="G27" s="3" t="s">
        <v>205</v>
      </c>
      <c r="H27" s="4" t="s">
        <v>116</v>
      </c>
    </row>
    <row r="28" spans="1:8" x14ac:dyDescent="0.25">
      <c r="A28" s="4" t="s">
        <v>182</v>
      </c>
      <c r="B28" s="4" t="s">
        <v>206</v>
      </c>
      <c r="C28" s="4">
        <v>150</v>
      </c>
      <c r="D28" s="4" t="s">
        <v>207</v>
      </c>
      <c r="E28" s="4">
        <v>150</v>
      </c>
      <c r="F28" s="4" t="s">
        <v>208</v>
      </c>
      <c r="G28" s="3" t="s">
        <v>209</v>
      </c>
      <c r="H28" s="4" t="s">
        <v>116</v>
      </c>
    </row>
    <row r="29" spans="1:8" x14ac:dyDescent="0.25">
      <c r="A29" s="4" t="s">
        <v>182</v>
      </c>
      <c r="B29" s="3" t="s">
        <v>210</v>
      </c>
      <c r="C29" s="4">
        <v>25</v>
      </c>
      <c r="D29" s="4" t="s">
        <v>172</v>
      </c>
      <c r="E29" s="4">
        <v>25</v>
      </c>
      <c r="F29" s="4" t="s">
        <v>211</v>
      </c>
      <c r="G29" s="3" t="s">
        <v>212</v>
      </c>
      <c r="H29" s="4" t="s">
        <v>116</v>
      </c>
    </row>
    <row r="30" spans="1:8" x14ac:dyDescent="0.25">
      <c r="A30" s="4" t="s">
        <v>213</v>
      </c>
      <c r="B30" s="3" t="s">
        <v>214</v>
      </c>
      <c r="C30" s="4">
        <v>25</v>
      </c>
      <c r="D30" s="4" t="s">
        <v>121</v>
      </c>
      <c r="E30" s="4">
        <v>25</v>
      </c>
      <c r="F30" s="4" t="s">
        <v>215</v>
      </c>
      <c r="G30" s="3" t="s">
        <v>216</v>
      </c>
      <c r="H30" s="4" t="s">
        <v>116</v>
      </c>
    </row>
    <row r="31" spans="1:8" x14ac:dyDescent="0.25">
      <c r="A31" s="4" t="s">
        <v>213</v>
      </c>
      <c r="B31" s="3" t="s">
        <v>217</v>
      </c>
      <c r="C31" s="4">
        <v>350</v>
      </c>
      <c r="D31" s="4" t="s">
        <v>121</v>
      </c>
      <c r="E31" s="4">
        <v>350</v>
      </c>
      <c r="F31" s="4" t="s">
        <v>218</v>
      </c>
      <c r="G31" s="3" t="s">
        <v>219</v>
      </c>
      <c r="H31" s="4" t="s">
        <v>116</v>
      </c>
    </row>
    <row r="32" spans="1:8" x14ac:dyDescent="0.25">
      <c r="A32" s="4" t="s">
        <v>220</v>
      </c>
      <c r="B32" s="4" t="s">
        <v>221</v>
      </c>
      <c r="C32" s="4" t="s">
        <v>222</v>
      </c>
      <c r="D32" s="4" t="s">
        <v>116</v>
      </c>
      <c r="E32" s="4" t="s">
        <v>222</v>
      </c>
      <c r="F32" s="4" t="s">
        <v>36</v>
      </c>
      <c r="G32" s="3" t="s">
        <v>223</v>
      </c>
      <c r="H32" s="4" t="s">
        <v>116</v>
      </c>
    </row>
    <row r="33" spans="1:8" x14ac:dyDescent="0.25">
      <c r="A33" s="4" t="s">
        <v>220</v>
      </c>
      <c r="B33" s="4" t="s">
        <v>224</v>
      </c>
      <c r="C33" s="4">
        <v>20000</v>
      </c>
      <c r="D33" s="4" t="s">
        <v>225</v>
      </c>
      <c r="E33" s="4">
        <v>20000</v>
      </c>
      <c r="F33" s="4" t="s">
        <v>226</v>
      </c>
      <c r="G33" s="3" t="s">
        <v>227</v>
      </c>
      <c r="H33" s="4" t="s">
        <v>116</v>
      </c>
    </row>
    <row r="34" spans="1:8" x14ac:dyDescent="0.25">
      <c r="A34" s="4" t="s">
        <v>220</v>
      </c>
      <c r="B34" s="4" t="s">
        <v>228</v>
      </c>
      <c r="C34" s="4">
        <v>800</v>
      </c>
      <c r="D34" s="4" t="s">
        <v>229</v>
      </c>
      <c r="E34" s="4">
        <v>800</v>
      </c>
      <c r="F34" s="4" t="s">
        <v>230</v>
      </c>
      <c r="G34" s="3" t="s">
        <v>231</v>
      </c>
      <c r="H34" s="4" t="s">
        <v>116</v>
      </c>
    </row>
    <row r="35" spans="1:8" x14ac:dyDescent="0.25">
      <c r="A35" s="4" t="s">
        <v>220</v>
      </c>
      <c r="B35" s="4" t="s">
        <v>232</v>
      </c>
      <c r="C35" s="4">
        <v>1.8</v>
      </c>
      <c r="D35" s="4" t="s">
        <v>229</v>
      </c>
      <c r="E35" s="4">
        <v>1.8</v>
      </c>
      <c r="F35" s="4" t="s">
        <v>233</v>
      </c>
      <c r="G35" s="3" t="s">
        <v>234</v>
      </c>
      <c r="H35" s="4" t="s">
        <v>116</v>
      </c>
    </row>
    <row r="36" spans="1:8" x14ac:dyDescent="0.25">
      <c r="A36" s="4" t="s">
        <v>220</v>
      </c>
      <c r="B36" s="4" t="s">
        <v>235</v>
      </c>
      <c r="C36" s="4" t="s">
        <v>236</v>
      </c>
      <c r="D36" s="4" t="s">
        <v>237</v>
      </c>
      <c r="E36" s="4" t="s">
        <v>236</v>
      </c>
      <c r="F36" s="4" t="s">
        <v>36</v>
      </c>
      <c r="G36" s="3" t="s">
        <v>238</v>
      </c>
      <c r="H36" s="4" t="s">
        <v>116</v>
      </c>
    </row>
    <row r="37" spans="1:8" x14ac:dyDescent="0.25">
      <c r="A37" s="4" t="s">
        <v>220</v>
      </c>
      <c r="B37" s="4" t="s">
        <v>239</v>
      </c>
      <c r="C37" s="4" t="s">
        <v>240</v>
      </c>
      <c r="D37" s="4" t="s">
        <v>237</v>
      </c>
      <c r="E37" s="4" t="s">
        <v>240</v>
      </c>
      <c r="F37" s="4" t="s">
        <v>36</v>
      </c>
      <c r="G37" s="3" t="s">
        <v>241</v>
      </c>
      <c r="H37" s="4" t="s">
        <v>116</v>
      </c>
    </row>
    <row r="38" spans="1:8" x14ac:dyDescent="0.25">
      <c r="A38" s="4" t="s">
        <v>220</v>
      </c>
      <c r="B38" s="4" t="s">
        <v>242</v>
      </c>
      <c r="C38" s="4">
        <v>5</v>
      </c>
      <c r="D38" s="4" t="s">
        <v>172</v>
      </c>
      <c r="E38" s="4">
        <v>5</v>
      </c>
      <c r="F38" s="4" t="s">
        <v>243</v>
      </c>
      <c r="G38" s="3" t="s">
        <v>244</v>
      </c>
      <c r="H38" s="4" t="s">
        <v>116</v>
      </c>
    </row>
    <row r="39" spans="1:8" x14ac:dyDescent="0.25">
      <c r="A39" s="4" t="s">
        <v>245</v>
      </c>
      <c r="B39" s="4" t="s">
        <v>246</v>
      </c>
      <c r="C39" s="4">
        <v>500</v>
      </c>
      <c r="D39" s="4" t="s">
        <v>247</v>
      </c>
      <c r="E39" s="4">
        <v>500</v>
      </c>
      <c r="F39" s="4" t="s">
        <v>248</v>
      </c>
      <c r="G39" s="3" t="s">
        <v>249</v>
      </c>
      <c r="H39" s="4" t="s">
        <v>116</v>
      </c>
    </row>
    <row r="40" spans="1:8" x14ac:dyDescent="0.25">
      <c r="A40" s="4" t="s">
        <v>245</v>
      </c>
      <c r="B40" s="4" t="s">
        <v>250</v>
      </c>
      <c r="C40" s="4" t="s">
        <v>251</v>
      </c>
      <c r="D40" s="4" t="s">
        <v>116</v>
      </c>
      <c r="E40" s="4" t="s">
        <v>251</v>
      </c>
      <c r="F40" s="4" t="s">
        <v>36</v>
      </c>
      <c r="G40" s="3" t="s">
        <v>252</v>
      </c>
      <c r="H40" s="4" t="s">
        <v>116</v>
      </c>
    </row>
    <row r="41" spans="1:8" x14ac:dyDescent="0.25">
      <c r="A41" s="4" t="s">
        <v>245</v>
      </c>
      <c r="B41" s="4" t="s">
        <v>253</v>
      </c>
      <c r="C41" s="4" t="s">
        <v>254</v>
      </c>
      <c r="D41" s="4" t="s">
        <v>116</v>
      </c>
      <c r="E41" s="4" t="s">
        <v>254</v>
      </c>
      <c r="F41" s="4" t="s">
        <v>36</v>
      </c>
      <c r="G41" s="3" t="s">
        <v>255</v>
      </c>
      <c r="H41" s="4" t="s">
        <v>116</v>
      </c>
    </row>
    <row r="42" spans="1:8" x14ac:dyDescent="0.25">
      <c r="A42" s="4" t="s">
        <v>245</v>
      </c>
      <c r="B42" s="3" t="s">
        <v>256</v>
      </c>
      <c r="C42" s="4">
        <v>80</v>
      </c>
      <c r="D42" s="4" t="s">
        <v>257</v>
      </c>
      <c r="E42" s="4">
        <v>80</v>
      </c>
      <c r="F42" s="4" t="s">
        <v>258</v>
      </c>
      <c r="G42" s="3" t="s">
        <v>259</v>
      </c>
      <c r="H42" s="4" t="s">
        <v>116</v>
      </c>
    </row>
    <row r="43" spans="1:8" x14ac:dyDescent="0.25">
      <c r="A43" s="4" t="s">
        <v>245</v>
      </c>
      <c r="B43" s="4" t="s">
        <v>260</v>
      </c>
      <c r="C43" s="4">
        <v>5</v>
      </c>
      <c r="D43" s="4" t="s">
        <v>261</v>
      </c>
      <c r="E43" s="4">
        <v>5</v>
      </c>
      <c r="F43" s="4" t="s">
        <v>262</v>
      </c>
      <c r="G43" s="3" t="s">
        <v>263</v>
      </c>
      <c r="H43" s="4" t="s">
        <v>116</v>
      </c>
    </row>
    <row r="44" spans="1:8" x14ac:dyDescent="0.25">
      <c r="A44" s="4" t="s">
        <v>157</v>
      </c>
      <c r="B44" s="3" t="s">
        <v>264</v>
      </c>
      <c r="C44" s="4">
        <v>0</v>
      </c>
      <c r="D44" s="4" t="s">
        <v>265</v>
      </c>
      <c r="E44" s="4">
        <v>0</v>
      </c>
      <c r="F44" s="4" t="s">
        <v>266</v>
      </c>
      <c r="G44" s="4" t="s">
        <v>267</v>
      </c>
      <c r="H44" s="4" t="s">
        <v>116</v>
      </c>
    </row>
    <row r="45" spans="1:8" x14ac:dyDescent="0.25">
      <c r="A45" s="4" t="s">
        <v>213</v>
      </c>
      <c r="B45" s="4" t="s">
        <v>268</v>
      </c>
      <c r="C45" s="4">
        <v>4</v>
      </c>
      <c r="D45" s="4" t="s">
        <v>125</v>
      </c>
      <c r="E45" s="4">
        <v>4</v>
      </c>
      <c r="F45" s="4" t="s">
        <v>269</v>
      </c>
      <c r="G45" s="4" t="s">
        <v>267</v>
      </c>
      <c r="H45" s="4" t="s">
        <v>116</v>
      </c>
    </row>
    <row r="46" spans="1:8" x14ac:dyDescent="0.25">
      <c r="A46" s="4" t="s">
        <v>213</v>
      </c>
      <c r="B46" s="4" t="s">
        <v>270</v>
      </c>
      <c r="C46" s="4">
        <v>4</v>
      </c>
      <c r="D46" s="4" t="s">
        <v>125</v>
      </c>
      <c r="E46" s="4">
        <v>4</v>
      </c>
      <c r="F46" s="4" t="s">
        <v>269</v>
      </c>
      <c r="G46" s="4" t="s">
        <v>267</v>
      </c>
      <c r="H46" s="4" t="s">
        <v>116</v>
      </c>
    </row>
    <row r="47" spans="1:8" x14ac:dyDescent="0.25">
      <c r="A47" s="4" t="s">
        <v>220</v>
      </c>
      <c r="B47" s="4" t="s">
        <v>271</v>
      </c>
      <c r="C47" s="4" t="s">
        <v>272</v>
      </c>
      <c r="D47" s="4" t="s">
        <v>116</v>
      </c>
      <c r="E47" s="4" t="s">
        <v>272</v>
      </c>
      <c r="F47" s="4" t="s">
        <v>36</v>
      </c>
      <c r="G47" s="4" t="s">
        <v>267</v>
      </c>
      <c r="H47" s="4" t="s">
        <v>116</v>
      </c>
    </row>
    <row r="48" spans="1:8" x14ac:dyDescent="0.25">
      <c r="A48" s="4" t="s">
        <v>220</v>
      </c>
      <c r="B48" s="4" t="s">
        <v>273</v>
      </c>
      <c r="C48" s="4">
        <v>9</v>
      </c>
      <c r="D48" s="4" t="s">
        <v>121</v>
      </c>
      <c r="E48" s="4">
        <v>9</v>
      </c>
      <c r="F48" s="4" t="s">
        <v>274</v>
      </c>
      <c r="G48" s="4" t="s">
        <v>275</v>
      </c>
      <c r="H48" s="4" t="s">
        <v>116</v>
      </c>
    </row>
    <row r="49" spans="1:8" x14ac:dyDescent="0.25">
      <c r="A49" s="4" t="s">
        <v>220</v>
      </c>
      <c r="B49" s="4" t="s">
        <v>276</v>
      </c>
      <c r="C49" s="4">
        <v>12</v>
      </c>
      <c r="D49" s="4" t="s">
        <v>277</v>
      </c>
      <c r="E49" s="4">
        <v>12</v>
      </c>
      <c r="F49" s="4" t="s">
        <v>278</v>
      </c>
      <c r="G49" s="4" t="s">
        <v>267</v>
      </c>
      <c r="H49" s="4" t="s">
        <v>116</v>
      </c>
    </row>
    <row r="50" spans="1:8" x14ac:dyDescent="0.25">
      <c r="A50" s="4" t="s">
        <v>279</v>
      </c>
      <c r="B50" s="4" t="s">
        <v>280</v>
      </c>
      <c r="C50" s="4">
        <v>10000</v>
      </c>
      <c r="D50" s="4" t="s">
        <v>113</v>
      </c>
      <c r="E50" s="4">
        <v>10000</v>
      </c>
      <c r="F50" s="4" t="s">
        <v>118</v>
      </c>
      <c r="G50" s="4" t="s">
        <v>275</v>
      </c>
      <c r="H50" s="4" t="s">
        <v>116</v>
      </c>
    </row>
    <row r="51" spans="1:8" x14ac:dyDescent="0.25">
      <c r="A51" s="4" t="s">
        <v>279</v>
      </c>
      <c r="B51" s="4" t="s">
        <v>281</v>
      </c>
      <c r="C51" s="4">
        <v>2</v>
      </c>
      <c r="D51" s="4" t="s">
        <v>282</v>
      </c>
      <c r="E51" s="4">
        <v>2</v>
      </c>
      <c r="F51" s="4" t="s">
        <v>283</v>
      </c>
      <c r="G51" s="4" t="s">
        <v>267</v>
      </c>
      <c r="H51" s="4" t="s">
        <v>116</v>
      </c>
    </row>
    <row r="52" spans="1:8" x14ac:dyDescent="0.25">
      <c r="A52" s="4" t="s">
        <v>279</v>
      </c>
      <c r="B52" s="4" t="s">
        <v>284</v>
      </c>
      <c r="C52" s="4" t="s">
        <v>36</v>
      </c>
      <c r="D52" s="4" t="s">
        <v>184</v>
      </c>
      <c r="E52" s="4" t="s">
        <v>36</v>
      </c>
      <c r="F52" s="4" t="s">
        <v>285</v>
      </c>
      <c r="G52" s="4" t="s">
        <v>286</v>
      </c>
      <c r="H52" s="4" t="s">
        <v>116</v>
      </c>
    </row>
    <row r="53" spans="1:8" x14ac:dyDescent="0.25">
      <c r="A53" s="4" t="s">
        <v>279</v>
      </c>
      <c r="B53" s="4" t="s">
        <v>287</v>
      </c>
      <c r="C53" s="4">
        <v>65000</v>
      </c>
      <c r="D53" s="4" t="s">
        <v>197</v>
      </c>
      <c r="E53" s="4">
        <v>65000</v>
      </c>
      <c r="F53" s="4" t="s">
        <v>288</v>
      </c>
      <c r="G53" s="3" t="s">
        <v>289</v>
      </c>
      <c r="H53" s="4" t="s">
        <v>116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8" customWidth="1"/>
    <col min="4" max="5" width="12" customWidth="1"/>
    <col min="6" max="7" width="60" customWidth="1"/>
    <col min="8" max="8" width="50" customWidth="1"/>
    <col min="9" max="9" width="70" customWidth="1"/>
    <col min="10" max="12" width="12" customWidth="1"/>
    <col min="13" max="15" width="14" customWidth="1"/>
    <col min="16" max="16" width="12" customWidth="1"/>
    <col min="17" max="18" width="14" customWidth="1"/>
    <col min="19" max="19" width="16" customWidth="1"/>
  </cols>
  <sheetData>
    <row r="1" spans="1:9" x14ac:dyDescent="0.25">
      <c r="A1" s="6" t="s">
        <v>290</v>
      </c>
      <c r="B1" s="6" t="s">
        <v>291</v>
      </c>
      <c r="C1" s="6" t="s">
        <v>292</v>
      </c>
      <c r="D1" s="6" t="s">
        <v>293</v>
      </c>
      <c r="E1" s="6" t="s">
        <v>294</v>
      </c>
      <c r="F1" s="6" t="s">
        <v>295</v>
      </c>
      <c r="G1" s="6" t="s">
        <v>296</v>
      </c>
      <c r="H1" s="6" t="s">
        <v>297</v>
      </c>
      <c r="I1" s="6" t="s">
        <v>298</v>
      </c>
    </row>
    <row r="2" spans="1:9" x14ac:dyDescent="0.25">
      <c r="A2" s="3" t="s">
        <v>299</v>
      </c>
      <c r="B2" s="4" t="s">
        <v>300</v>
      </c>
      <c r="C2" s="4" t="s">
        <v>301</v>
      </c>
      <c r="D2" s="12">
        <v>66</v>
      </c>
      <c r="E2" s="4" t="s">
        <v>302</v>
      </c>
      <c r="F2" s="3" t="s">
        <v>303</v>
      </c>
      <c r="G2" s="3" t="s">
        <v>304</v>
      </c>
      <c r="H2" s="3" t="s">
        <v>305</v>
      </c>
      <c r="I2" s="3" t="s">
        <v>306</v>
      </c>
    </row>
    <row r="3" spans="1:9" x14ac:dyDescent="0.25">
      <c r="A3" s="3" t="s">
        <v>299</v>
      </c>
      <c r="B3" s="4" t="s">
        <v>307</v>
      </c>
      <c r="C3" s="4" t="s">
        <v>308</v>
      </c>
      <c r="D3" s="12">
        <v>64</v>
      </c>
      <c r="E3" s="4" t="s">
        <v>302</v>
      </c>
      <c r="F3" s="3" t="s">
        <v>309</v>
      </c>
      <c r="G3" s="3" t="s">
        <v>310</v>
      </c>
      <c r="H3" s="3" t="s">
        <v>311</v>
      </c>
      <c r="I3" s="3" t="s">
        <v>312</v>
      </c>
    </row>
    <row r="4" spans="1:9" x14ac:dyDescent="0.25">
      <c r="A4" s="3" t="s">
        <v>299</v>
      </c>
      <c r="B4" s="3" t="s">
        <v>313</v>
      </c>
      <c r="C4" s="4" t="s">
        <v>308</v>
      </c>
      <c r="D4" s="12">
        <v>63</v>
      </c>
      <c r="E4" s="4" t="s">
        <v>302</v>
      </c>
      <c r="F4" s="3" t="s">
        <v>314</v>
      </c>
      <c r="G4" s="3" t="s">
        <v>315</v>
      </c>
      <c r="H4" s="4" t="s">
        <v>36</v>
      </c>
      <c r="I4" s="3" t="s">
        <v>316</v>
      </c>
    </row>
    <row r="5" spans="1:9" x14ac:dyDescent="0.25">
      <c r="A5" s="3" t="s">
        <v>299</v>
      </c>
      <c r="B5" s="4" t="s">
        <v>317</v>
      </c>
      <c r="C5" s="4" t="s">
        <v>308</v>
      </c>
      <c r="D5" s="12">
        <v>61</v>
      </c>
      <c r="E5" s="4" t="s">
        <v>302</v>
      </c>
      <c r="F5" s="3" t="s">
        <v>318</v>
      </c>
      <c r="G5" s="3" t="s">
        <v>319</v>
      </c>
      <c r="H5" s="3" t="s">
        <v>305</v>
      </c>
      <c r="I5" s="3" t="s">
        <v>320</v>
      </c>
    </row>
    <row r="6" spans="1:9" x14ac:dyDescent="0.25">
      <c r="A6" s="3" t="s">
        <v>299</v>
      </c>
      <c r="B6" s="4" t="s">
        <v>321</v>
      </c>
      <c r="C6" s="4" t="s">
        <v>308</v>
      </c>
      <c r="D6" s="12">
        <v>49</v>
      </c>
      <c r="E6" s="4" t="s">
        <v>302</v>
      </c>
      <c r="F6" s="3" t="s">
        <v>322</v>
      </c>
      <c r="G6" s="3" t="s">
        <v>323</v>
      </c>
      <c r="H6" s="3" t="s">
        <v>311</v>
      </c>
      <c r="I6" s="3" t="s">
        <v>324</v>
      </c>
    </row>
    <row r="7" spans="1:9" x14ac:dyDescent="0.25">
      <c r="A7" s="3" t="s">
        <v>299</v>
      </c>
      <c r="B7" s="3" t="s">
        <v>325</v>
      </c>
      <c r="C7" s="4" t="s">
        <v>308</v>
      </c>
      <c r="D7" s="12">
        <v>45</v>
      </c>
      <c r="E7" s="4" t="s">
        <v>302</v>
      </c>
      <c r="F7" s="3" t="s">
        <v>326</v>
      </c>
      <c r="G7" s="3" t="s">
        <v>327</v>
      </c>
      <c r="H7" s="3" t="s">
        <v>305</v>
      </c>
      <c r="I7" s="3" t="s">
        <v>328</v>
      </c>
    </row>
    <row r="8" spans="1:9" x14ac:dyDescent="0.25">
      <c r="A8" s="3" t="s">
        <v>299</v>
      </c>
      <c r="B8" s="4" t="s">
        <v>329</v>
      </c>
      <c r="C8" s="4" t="s">
        <v>308</v>
      </c>
      <c r="D8" s="12">
        <v>32</v>
      </c>
      <c r="E8" s="4" t="s">
        <v>302</v>
      </c>
      <c r="F8" s="3" t="s">
        <v>330</v>
      </c>
      <c r="G8" s="3" t="s">
        <v>331</v>
      </c>
      <c r="H8" s="3" t="s">
        <v>311</v>
      </c>
      <c r="I8" s="3" t="s">
        <v>332</v>
      </c>
    </row>
    <row r="9" spans="1:9" x14ac:dyDescent="0.25">
      <c r="A9" s="3" t="s">
        <v>299</v>
      </c>
      <c r="B9" s="4" t="s">
        <v>333</v>
      </c>
      <c r="C9" s="4" t="s">
        <v>308</v>
      </c>
      <c r="D9" s="12">
        <v>31</v>
      </c>
      <c r="E9" s="4" t="s">
        <v>302</v>
      </c>
      <c r="F9" s="3" t="s">
        <v>322</v>
      </c>
      <c r="G9" s="3" t="s">
        <v>334</v>
      </c>
      <c r="H9" s="3" t="s">
        <v>311</v>
      </c>
      <c r="I9" s="3" t="s">
        <v>335</v>
      </c>
    </row>
    <row r="10" spans="1:9" x14ac:dyDescent="0.25">
      <c r="A10" s="3" t="s">
        <v>299</v>
      </c>
      <c r="B10" s="4" t="s">
        <v>336</v>
      </c>
      <c r="C10" s="4" t="s">
        <v>337</v>
      </c>
      <c r="D10" s="12">
        <v>42</v>
      </c>
      <c r="E10" s="4" t="s">
        <v>302</v>
      </c>
      <c r="F10" s="3" t="s">
        <v>338</v>
      </c>
      <c r="G10" s="3" t="s">
        <v>339</v>
      </c>
      <c r="H10" s="3" t="s">
        <v>340</v>
      </c>
      <c r="I10" s="3" t="s">
        <v>341</v>
      </c>
    </row>
    <row r="11" spans="1:9" x14ac:dyDescent="0.25">
      <c r="A11" s="3" t="s">
        <v>299</v>
      </c>
      <c r="B11" s="4" t="s">
        <v>342</v>
      </c>
      <c r="C11" s="4" t="s">
        <v>337</v>
      </c>
      <c r="D11" s="12">
        <v>27</v>
      </c>
      <c r="E11" s="4" t="s">
        <v>302</v>
      </c>
      <c r="F11" s="3" t="s">
        <v>343</v>
      </c>
      <c r="G11" s="3" t="s">
        <v>344</v>
      </c>
      <c r="H11" s="3" t="s">
        <v>345</v>
      </c>
      <c r="I11" s="3" t="s">
        <v>346</v>
      </c>
    </row>
    <row r="12" spans="1:9" x14ac:dyDescent="0.25">
      <c r="A12" s="3" t="s">
        <v>299</v>
      </c>
      <c r="B12" s="4" t="s">
        <v>347</v>
      </c>
      <c r="C12" s="4" t="s">
        <v>337</v>
      </c>
      <c r="D12" s="12">
        <v>27</v>
      </c>
      <c r="E12" s="4" t="s">
        <v>302</v>
      </c>
      <c r="F12" s="3" t="s">
        <v>348</v>
      </c>
      <c r="G12" s="3" t="s">
        <v>349</v>
      </c>
      <c r="H12" s="3" t="s">
        <v>345</v>
      </c>
      <c r="I12" s="3" t="s">
        <v>350</v>
      </c>
    </row>
    <row r="13" spans="1:9" x14ac:dyDescent="0.25">
      <c r="A13" s="3" t="s">
        <v>299</v>
      </c>
      <c r="B13" s="4" t="s">
        <v>351</v>
      </c>
      <c r="C13" s="4" t="s">
        <v>352</v>
      </c>
      <c r="D13" s="12" t="s">
        <v>36</v>
      </c>
      <c r="E13" s="4" t="s">
        <v>302</v>
      </c>
      <c r="F13" s="3" t="s">
        <v>353</v>
      </c>
      <c r="G13" s="3" t="s">
        <v>354</v>
      </c>
      <c r="H13" s="3" t="s">
        <v>305</v>
      </c>
      <c r="I13" s="4" t="s">
        <v>36</v>
      </c>
    </row>
    <row r="14" spans="1:9" x14ac:dyDescent="0.25">
      <c r="A14" s="3" t="s">
        <v>299</v>
      </c>
      <c r="B14" s="4" t="s">
        <v>355</v>
      </c>
      <c r="C14" s="4" t="s">
        <v>352</v>
      </c>
      <c r="D14" s="12" t="s">
        <v>36</v>
      </c>
      <c r="E14" s="4" t="s">
        <v>302</v>
      </c>
      <c r="F14" s="3" t="s">
        <v>356</v>
      </c>
      <c r="G14" s="3" t="s">
        <v>357</v>
      </c>
      <c r="H14" s="3" t="s">
        <v>305</v>
      </c>
      <c r="I14" s="4" t="s">
        <v>36</v>
      </c>
    </row>
    <row r="15" spans="1:9" x14ac:dyDescent="0.25">
      <c r="A15" s="3" t="s">
        <v>299</v>
      </c>
      <c r="B15" s="4" t="s">
        <v>358</v>
      </c>
      <c r="C15" s="4" t="s">
        <v>352</v>
      </c>
      <c r="D15" s="12" t="s">
        <v>36</v>
      </c>
      <c r="E15" s="4" t="s">
        <v>302</v>
      </c>
      <c r="F15" s="3" t="s">
        <v>359</v>
      </c>
      <c r="G15" s="3" t="s">
        <v>360</v>
      </c>
      <c r="H15" s="3" t="s">
        <v>340</v>
      </c>
      <c r="I15" s="4" t="s">
        <v>36</v>
      </c>
    </row>
    <row r="16" spans="1:9" x14ac:dyDescent="0.25">
      <c r="A16" s="3" t="s">
        <v>299</v>
      </c>
      <c r="B16" s="4" t="s">
        <v>361</v>
      </c>
      <c r="C16" s="4" t="s">
        <v>352</v>
      </c>
      <c r="D16" s="12" t="s">
        <v>36</v>
      </c>
      <c r="E16" s="4" t="s">
        <v>302</v>
      </c>
      <c r="F16" s="3" t="s">
        <v>362</v>
      </c>
      <c r="G16" s="3" t="s">
        <v>363</v>
      </c>
      <c r="H16" s="3" t="s">
        <v>311</v>
      </c>
      <c r="I16" s="4" t="s">
        <v>36</v>
      </c>
    </row>
    <row r="17" spans="1:9" x14ac:dyDescent="0.25">
      <c r="A17" s="3" t="s">
        <v>299</v>
      </c>
      <c r="B17" s="4" t="s">
        <v>364</v>
      </c>
      <c r="C17" s="4" t="s">
        <v>352</v>
      </c>
      <c r="D17" s="12" t="s">
        <v>36</v>
      </c>
      <c r="E17" s="4" t="s">
        <v>302</v>
      </c>
      <c r="F17" s="3" t="s">
        <v>365</v>
      </c>
      <c r="G17" s="3" t="s">
        <v>366</v>
      </c>
      <c r="H17" s="3" t="s">
        <v>345</v>
      </c>
      <c r="I17" s="4" t="s">
        <v>36</v>
      </c>
    </row>
    <row r="18" spans="1:9" x14ac:dyDescent="0.25">
      <c r="A18" s="3" t="s">
        <v>299</v>
      </c>
      <c r="B18" s="4" t="s">
        <v>367</v>
      </c>
      <c r="C18" s="4" t="s">
        <v>352</v>
      </c>
      <c r="D18" s="12" t="s">
        <v>36</v>
      </c>
      <c r="E18" s="4" t="s">
        <v>302</v>
      </c>
      <c r="F18" s="3" t="s">
        <v>368</v>
      </c>
      <c r="G18" s="3" t="s">
        <v>349</v>
      </c>
      <c r="H18" s="3" t="s">
        <v>345</v>
      </c>
      <c r="I18" s="4" t="s">
        <v>36</v>
      </c>
    </row>
    <row r="19" spans="1:9" x14ac:dyDescent="0.25">
      <c r="A19" s="4" t="s">
        <v>369</v>
      </c>
      <c r="B19" s="4" t="s">
        <v>355</v>
      </c>
      <c r="C19" s="4" t="s">
        <v>308</v>
      </c>
      <c r="D19" s="12">
        <v>47</v>
      </c>
      <c r="E19" s="4" t="s">
        <v>302</v>
      </c>
      <c r="F19" s="3" t="s">
        <v>370</v>
      </c>
      <c r="G19" s="3" t="s">
        <v>357</v>
      </c>
      <c r="H19" s="3" t="s">
        <v>305</v>
      </c>
      <c r="I19" s="3" t="s">
        <v>371</v>
      </c>
    </row>
    <row r="20" spans="1:9" x14ac:dyDescent="0.25">
      <c r="A20" s="4" t="s">
        <v>369</v>
      </c>
      <c r="B20" s="4" t="s">
        <v>336</v>
      </c>
      <c r="C20" s="4" t="s">
        <v>308</v>
      </c>
      <c r="D20" s="12">
        <v>42</v>
      </c>
      <c r="E20" s="4" t="s">
        <v>302</v>
      </c>
      <c r="F20" s="3" t="s">
        <v>372</v>
      </c>
      <c r="G20" s="3" t="s">
        <v>339</v>
      </c>
      <c r="H20" s="3" t="s">
        <v>305</v>
      </c>
      <c r="I20" s="3" t="s">
        <v>373</v>
      </c>
    </row>
    <row r="21" spans="1:9" x14ac:dyDescent="0.25">
      <c r="A21" s="4" t="s">
        <v>369</v>
      </c>
      <c r="B21" s="4" t="s">
        <v>307</v>
      </c>
      <c r="C21" s="4" t="s">
        <v>308</v>
      </c>
      <c r="D21" s="12">
        <v>41</v>
      </c>
      <c r="E21" s="4" t="s">
        <v>302</v>
      </c>
      <c r="F21" s="3" t="s">
        <v>374</v>
      </c>
      <c r="G21" s="3" t="s">
        <v>375</v>
      </c>
      <c r="H21" s="3" t="s">
        <v>305</v>
      </c>
      <c r="I21" s="3" t="s">
        <v>376</v>
      </c>
    </row>
    <row r="22" spans="1:9" x14ac:dyDescent="0.25">
      <c r="A22" s="4" t="s">
        <v>369</v>
      </c>
      <c r="B22" s="4" t="s">
        <v>333</v>
      </c>
      <c r="C22" s="4" t="s">
        <v>308</v>
      </c>
      <c r="D22" s="12">
        <v>38</v>
      </c>
      <c r="E22" s="4" t="s">
        <v>302</v>
      </c>
      <c r="F22" s="3" t="s">
        <v>372</v>
      </c>
      <c r="G22" s="3" t="s">
        <v>334</v>
      </c>
      <c r="H22" s="3" t="s">
        <v>305</v>
      </c>
      <c r="I22" s="3" t="s">
        <v>377</v>
      </c>
    </row>
    <row r="23" spans="1:9" x14ac:dyDescent="0.25">
      <c r="A23" s="4" t="s">
        <v>369</v>
      </c>
      <c r="B23" s="4" t="s">
        <v>358</v>
      </c>
      <c r="C23" s="4" t="s">
        <v>337</v>
      </c>
      <c r="D23" s="12">
        <v>43</v>
      </c>
      <c r="E23" s="4" t="s">
        <v>302</v>
      </c>
      <c r="F23" s="3" t="s">
        <v>378</v>
      </c>
      <c r="G23" s="3" t="s">
        <v>360</v>
      </c>
      <c r="H23" s="3" t="s">
        <v>340</v>
      </c>
      <c r="I23" s="3" t="s">
        <v>379</v>
      </c>
    </row>
    <row r="24" spans="1:9" x14ac:dyDescent="0.25">
      <c r="A24" s="4" t="s">
        <v>369</v>
      </c>
      <c r="B24" s="4" t="s">
        <v>342</v>
      </c>
      <c r="C24" s="4" t="s">
        <v>352</v>
      </c>
      <c r="D24" s="12" t="s">
        <v>36</v>
      </c>
      <c r="E24" s="4" t="s">
        <v>302</v>
      </c>
      <c r="F24" s="3" t="s">
        <v>380</v>
      </c>
      <c r="G24" s="3" t="s">
        <v>344</v>
      </c>
      <c r="H24" s="3" t="s">
        <v>340</v>
      </c>
      <c r="I24" s="4" t="s">
        <v>36</v>
      </c>
    </row>
    <row r="25" spans="1:9" x14ac:dyDescent="0.25">
      <c r="A25" s="4" t="s">
        <v>369</v>
      </c>
      <c r="B25" s="4" t="s">
        <v>321</v>
      </c>
      <c r="C25" s="4" t="s">
        <v>352</v>
      </c>
      <c r="D25" s="12" t="s">
        <v>36</v>
      </c>
      <c r="E25" s="4" t="s">
        <v>302</v>
      </c>
      <c r="F25" s="3" t="s">
        <v>381</v>
      </c>
      <c r="G25" s="3" t="s">
        <v>382</v>
      </c>
      <c r="H25" s="3" t="s">
        <v>305</v>
      </c>
      <c r="I25" s="4" t="s">
        <v>36</v>
      </c>
    </row>
    <row r="26" spans="1:9" x14ac:dyDescent="0.25">
      <c r="A26" s="4" t="s">
        <v>383</v>
      </c>
      <c r="B26" s="4" t="s">
        <v>384</v>
      </c>
      <c r="C26" s="4" t="s">
        <v>308</v>
      </c>
      <c r="D26" s="12">
        <v>49</v>
      </c>
      <c r="E26" s="4" t="s">
        <v>302</v>
      </c>
      <c r="F26" s="3" t="s">
        <v>385</v>
      </c>
      <c r="G26" s="3" t="s">
        <v>386</v>
      </c>
      <c r="H26" s="3" t="s">
        <v>305</v>
      </c>
      <c r="I26" s="3" t="s">
        <v>387</v>
      </c>
    </row>
    <row r="27" spans="1:9" x14ac:dyDescent="0.25">
      <c r="A27" s="4" t="s">
        <v>383</v>
      </c>
      <c r="B27" s="4" t="s">
        <v>388</v>
      </c>
      <c r="C27" s="4" t="s">
        <v>308</v>
      </c>
      <c r="D27" s="12">
        <v>41</v>
      </c>
      <c r="E27" s="4" t="s">
        <v>302</v>
      </c>
      <c r="F27" s="3" t="s">
        <v>389</v>
      </c>
      <c r="G27" s="3" t="s">
        <v>360</v>
      </c>
      <c r="H27" s="3" t="s">
        <v>305</v>
      </c>
      <c r="I27" s="3" t="s">
        <v>390</v>
      </c>
    </row>
    <row r="28" spans="1:9" x14ac:dyDescent="0.25">
      <c r="A28" s="4" t="s">
        <v>383</v>
      </c>
      <c r="B28" s="4" t="s">
        <v>391</v>
      </c>
      <c r="C28" s="4" t="s">
        <v>308</v>
      </c>
      <c r="D28" s="12">
        <v>40</v>
      </c>
      <c r="E28" s="4" t="s">
        <v>302</v>
      </c>
      <c r="F28" s="3" t="s">
        <v>392</v>
      </c>
      <c r="G28" s="3" t="s">
        <v>360</v>
      </c>
      <c r="H28" s="3" t="s">
        <v>305</v>
      </c>
      <c r="I28" s="3" t="s">
        <v>393</v>
      </c>
    </row>
    <row r="29" spans="1:9" x14ac:dyDescent="0.25">
      <c r="A29" s="4" t="s">
        <v>383</v>
      </c>
      <c r="B29" s="4" t="s">
        <v>394</v>
      </c>
      <c r="C29" s="4" t="s">
        <v>308</v>
      </c>
      <c r="D29" s="12">
        <v>36</v>
      </c>
      <c r="E29" s="4" t="s">
        <v>302</v>
      </c>
      <c r="F29" s="3" t="s">
        <v>395</v>
      </c>
      <c r="G29" s="3" t="s">
        <v>396</v>
      </c>
      <c r="H29" s="4" t="s">
        <v>36</v>
      </c>
      <c r="I29" s="3" t="s">
        <v>397</v>
      </c>
    </row>
    <row r="30" spans="1:9" x14ac:dyDescent="0.25">
      <c r="A30" s="4" t="s">
        <v>383</v>
      </c>
      <c r="B30" s="4" t="s">
        <v>398</v>
      </c>
      <c r="C30" s="4" t="s">
        <v>337</v>
      </c>
      <c r="D30" s="12">
        <v>36</v>
      </c>
      <c r="E30" s="4" t="s">
        <v>302</v>
      </c>
      <c r="F30" s="3" t="s">
        <v>399</v>
      </c>
      <c r="G30" s="3" t="s">
        <v>400</v>
      </c>
      <c r="H30" s="3" t="s">
        <v>340</v>
      </c>
      <c r="I30" s="3" t="s">
        <v>401</v>
      </c>
    </row>
    <row r="31" spans="1:9" x14ac:dyDescent="0.25">
      <c r="A31" s="4" t="s">
        <v>383</v>
      </c>
      <c r="B31" s="4" t="s">
        <v>402</v>
      </c>
      <c r="C31" s="4" t="s">
        <v>337</v>
      </c>
      <c r="D31" s="12">
        <v>27</v>
      </c>
      <c r="E31" s="4" t="s">
        <v>302</v>
      </c>
      <c r="F31" s="3" t="s">
        <v>403</v>
      </c>
      <c r="G31" s="3" t="s">
        <v>404</v>
      </c>
      <c r="H31" s="3" t="s">
        <v>405</v>
      </c>
      <c r="I31" s="3" t="s">
        <v>406</v>
      </c>
    </row>
    <row r="32" spans="1:9" x14ac:dyDescent="0.25">
      <c r="A32" s="4" t="s">
        <v>383</v>
      </c>
      <c r="B32" s="4" t="s">
        <v>407</v>
      </c>
      <c r="C32" s="4" t="s">
        <v>352</v>
      </c>
      <c r="D32" s="12" t="s">
        <v>36</v>
      </c>
      <c r="E32" s="4" t="s">
        <v>302</v>
      </c>
      <c r="F32" s="3" t="s">
        <v>408</v>
      </c>
      <c r="G32" s="3" t="s">
        <v>409</v>
      </c>
      <c r="H32" s="3" t="s">
        <v>340</v>
      </c>
      <c r="I32" s="4" t="s">
        <v>36</v>
      </c>
    </row>
    <row r="33" spans="1:9" x14ac:dyDescent="0.25">
      <c r="A33" s="4" t="s">
        <v>410</v>
      </c>
      <c r="B33" s="4" t="s">
        <v>411</v>
      </c>
      <c r="C33" s="4" t="s">
        <v>308</v>
      </c>
      <c r="D33" s="12">
        <v>49</v>
      </c>
      <c r="E33" s="4" t="s">
        <v>302</v>
      </c>
      <c r="F33" s="3" t="s">
        <v>412</v>
      </c>
      <c r="G33" s="3" t="s">
        <v>360</v>
      </c>
      <c r="H33" s="3" t="s">
        <v>305</v>
      </c>
      <c r="I33" s="3" t="s">
        <v>413</v>
      </c>
    </row>
    <row r="34" spans="1:9" x14ac:dyDescent="0.25">
      <c r="A34" s="4" t="s">
        <v>410</v>
      </c>
      <c r="B34" s="4" t="s">
        <v>414</v>
      </c>
      <c r="C34" s="4" t="s">
        <v>308</v>
      </c>
      <c r="D34" s="12">
        <v>38</v>
      </c>
      <c r="E34" s="4" t="s">
        <v>302</v>
      </c>
      <c r="F34" s="3" t="s">
        <v>415</v>
      </c>
      <c r="G34" s="3" t="s">
        <v>416</v>
      </c>
      <c r="H34" s="3" t="s">
        <v>305</v>
      </c>
      <c r="I34" s="3" t="s">
        <v>417</v>
      </c>
    </row>
    <row r="35" spans="1:9" x14ac:dyDescent="0.25">
      <c r="A35" s="4" t="s">
        <v>418</v>
      </c>
      <c r="B35" s="4" t="s">
        <v>419</v>
      </c>
      <c r="C35" s="4" t="s">
        <v>308</v>
      </c>
      <c r="D35" s="12">
        <v>33</v>
      </c>
      <c r="E35" s="4" t="s">
        <v>302</v>
      </c>
      <c r="F35" s="3" t="s">
        <v>420</v>
      </c>
      <c r="G35" s="3" t="s">
        <v>360</v>
      </c>
      <c r="H35" s="3" t="s">
        <v>311</v>
      </c>
      <c r="I35" s="3" t="s">
        <v>421</v>
      </c>
    </row>
    <row r="36" spans="1:9" x14ac:dyDescent="0.25">
      <c r="A36" s="4" t="s">
        <v>418</v>
      </c>
      <c r="B36" s="4" t="s">
        <v>422</v>
      </c>
      <c r="C36" s="4" t="s">
        <v>337</v>
      </c>
      <c r="D36" s="12">
        <v>33</v>
      </c>
      <c r="E36" s="4" t="s">
        <v>302</v>
      </c>
      <c r="F36" s="3" t="s">
        <v>423</v>
      </c>
      <c r="G36" s="3" t="s">
        <v>424</v>
      </c>
      <c r="H36" s="3" t="s">
        <v>425</v>
      </c>
      <c r="I36" s="3" t="s">
        <v>421</v>
      </c>
    </row>
    <row r="37" spans="1:9" x14ac:dyDescent="0.25">
      <c r="A37" s="4" t="s">
        <v>279</v>
      </c>
      <c r="B37" s="4" t="s">
        <v>426</v>
      </c>
      <c r="C37" s="4" t="s">
        <v>337</v>
      </c>
      <c r="D37" s="12">
        <v>45</v>
      </c>
      <c r="E37" s="4" t="s">
        <v>302</v>
      </c>
      <c r="F37" s="3" t="s">
        <v>427</v>
      </c>
      <c r="G37" s="3" t="s">
        <v>360</v>
      </c>
      <c r="H37" s="3" t="s">
        <v>428</v>
      </c>
      <c r="I37" s="3" t="s">
        <v>429</v>
      </c>
    </row>
    <row r="38" spans="1:9" x14ac:dyDescent="0.25">
      <c r="A38" s="4" t="s">
        <v>279</v>
      </c>
      <c r="B38" s="4" t="s">
        <v>430</v>
      </c>
      <c r="C38" s="4" t="s">
        <v>337</v>
      </c>
      <c r="D38" s="12">
        <v>42</v>
      </c>
      <c r="E38" s="4" t="s">
        <v>302</v>
      </c>
      <c r="F38" s="3" t="s">
        <v>431</v>
      </c>
      <c r="G38" s="3" t="s">
        <v>432</v>
      </c>
      <c r="H38" s="3" t="s">
        <v>428</v>
      </c>
      <c r="I38" s="3" t="s">
        <v>433</v>
      </c>
    </row>
    <row r="39" spans="1:9" x14ac:dyDescent="0.25">
      <c r="A39" s="4" t="s">
        <v>279</v>
      </c>
      <c r="B39" s="4" t="s">
        <v>434</v>
      </c>
      <c r="C39" s="4" t="s">
        <v>337</v>
      </c>
      <c r="D39" s="12">
        <v>42</v>
      </c>
      <c r="E39" s="4" t="s">
        <v>302</v>
      </c>
      <c r="F39" s="3" t="s">
        <v>435</v>
      </c>
      <c r="G39" s="3" t="s">
        <v>432</v>
      </c>
      <c r="H39" s="3" t="s">
        <v>428</v>
      </c>
      <c r="I39" s="3" t="s">
        <v>436</v>
      </c>
    </row>
    <row r="40" spans="1:9" x14ac:dyDescent="0.25">
      <c r="A40" s="4" t="s">
        <v>279</v>
      </c>
      <c r="B40" s="4" t="s">
        <v>437</v>
      </c>
      <c r="C40" s="4" t="s">
        <v>337</v>
      </c>
      <c r="D40" s="12">
        <v>33</v>
      </c>
      <c r="E40" s="4" t="s">
        <v>302</v>
      </c>
      <c r="F40" s="3" t="s">
        <v>438</v>
      </c>
      <c r="G40" s="3" t="s">
        <v>439</v>
      </c>
      <c r="H40" s="3" t="s">
        <v>440</v>
      </c>
      <c r="I40" s="3" t="s">
        <v>441</v>
      </c>
    </row>
    <row r="41" spans="1:9" x14ac:dyDescent="0.25">
      <c r="A41" s="4" t="s">
        <v>279</v>
      </c>
      <c r="B41" s="4" t="s">
        <v>442</v>
      </c>
      <c r="C41" s="4" t="s">
        <v>337</v>
      </c>
      <c r="D41" s="12">
        <v>33</v>
      </c>
      <c r="E41" s="4" t="s">
        <v>302</v>
      </c>
      <c r="F41" s="3" t="s">
        <v>438</v>
      </c>
      <c r="G41" s="3" t="s">
        <v>443</v>
      </c>
      <c r="H41" s="3" t="s">
        <v>440</v>
      </c>
      <c r="I41" s="3" t="s">
        <v>444</v>
      </c>
    </row>
    <row r="42" spans="1:9" x14ac:dyDescent="0.25">
      <c r="A42" s="4" t="s">
        <v>279</v>
      </c>
      <c r="B42" s="4" t="s">
        <v>445</v>
      </c>
      <c r="C42" s="4" t="s">
        <v>337</v>
      </c>
      <c r="D42" s="12">
        <v>28</v>
      </c>
      <c r="E42" s="4" t="s">
        <v>302</v>
      </c>
      <c r="F42" s="3" t="s">
        <v>438</v>
      </c>
      <c r="G42" s="3" t="s">
        <v>400</v>
      </c>
      <c r="H42" s="3" t="s">
        <v>440</v>
      </c>
      <c r="I42" s="3" t="s">
        <v>446</v>
      </c>
    </row>
    <row r="43" spans="1:9" x14ac:dyDescent="0.25">
      <c r="A43" s="4" t="s">
        <v>279</v>
      </c>
      <c r="B43" s="4" t="s">
        <v>447</v>
      </c>
      <c r="C43" s="4" t="s">
        <v>337</v>
      </c>
      <c r="D43" s="12">
        <v>12</v>
      </c>
      <c r="E43" s="4" t="s">
        <v>302</v>
      </c>
      <c r="F43" s="3" t="s">
        <v>438</v>
      </c>
      <c r="G43" s="3" t="s">
        <v>448</v>
      </c>
      <c r="H43" s="3" t="s">
        <v>449</v>
      </c>
      <c r="I43" s="3" t="s">
        <v>450</v>
      </c>
    </row>
    <row r="44" spans="1:9" x14ac:dyDescent="0.25">
      <c r="A44" s="4" t="s">
        <v>279</v>
      </c>
      <c r="B44" s="4" t="s">
        <v>451</v>
      </c>
      <c r="C44" s="4" t="s">
        <v>337</v>
      </c>
      <c r="D44" s="12">
        <v>12</v>
      </c>
      <c r="E44" s="4" t="s">
        <v>302</v>
      </c>
      <c r="F44" s="3" t="s">
        <v>438</v>
      </c>
      <c r="G44" s="3" t="s">
        <v>452</v>
      </c>
      <c r="H44" s="3" t="s">
        <v>449</v>
      </c>
      <c r="I44" s="3" t="s">
        <v>453</v>
      </c>
    </row>
    <row r="45" spans="1:9" x14ac:dyDescent="0.25">
      <c r="A45" s="4" t="s">
        <v>279</v>
      </c>
      <c r="B45" s="4" t="s">
        <v>454</v>
      </c>
      <c r="C45" s="4" t="s">
        <v>337</v>
      </c>
      <c r="D45" s="12">
        <v>11</v>
      </c>
      <c r="E45" s="4" t="s">
        <v>302</v>
      </c>
      <c r="F45" s="3" t="s">
        <v>438</v>
      </c>
      <c r="G45" s="3" t="s">
        <v>455</v>
      </c>
      <c r="H45" s="3" t="s">
        <v>449</v>
      </c>
      <c r="I45" s="3" t="s">
        <v>456</v>
      </c>
    </row>
    <row r="46" spans="1:9" x14ac:dyDescent="0.25">
      <c r="A46" s="4" t="s">
        <v>279</v>
      </c>
      <c r="B46" s="4" t="s">
        <v>457</v>
      </c>
      <c r="C46" s="4" t="s">
        <v>352</v>
      </c>
      <c r="D46" s="12" t="s">
        <v>36</v>
      </c>
      <c r="E46" s="4" t="s">
        <v>302</v>
      </c>
      <c r="F46" s="3" t="s">
        <v>408</v>
      </c>
      <c r="G46" s="3" t="s">
        <v>458</v>
      </c>
      <c r="H46" s="3" t="s">
        <v>440</v>
      </c>
      <c r="I46" s="4" t="s">
        <v>36</v>
      </c>
    </row>
    <row r="48" spans="1:1" x14ac:dyDescent="0.25">
      <c r="A48" s="5" t="s">
        <v>459</v>
      </c>
    </row>
    <row r="49" spans="1:19" x14ac:dyDescent="0.25">
      <c r="A49" s="6" t="s">
        <v>290</v>
      </c>
      <c r="B49" s="6" t="s">
        <v>291</v>
      </c>
      <c r="C49" s="6" t="s">
        <v>292</v>
      </c>
      <c r="D49" s="6" t="s">
        <v>460</v>
      </c>
      <c r="E49" s="6" t="s">
        <v>461</v>
      </c>
      <c r="F49" s="6" t="s">
        <v>462</v>
      </c>
      <c r="G49" s="6" t="s">
        <v>463</v>
      </c>
      <c r="H49" s="6" t="s">
        <v>464</v>
      </c>
      <c r="I49" s="6" t="s">
        <v>465</v>
      </c>
      <c r="J49" s="6" t="s">
        <v>466</v>
      </c>
      <c r="K49" s="6" t="s">
        <v>467</v>
      </c>
      <c r="L49" s="6" t="s">
        <v>468</v>
      </c>
      <c r="M49" s="6" t="s">
        <v>469</v>
      </c>
      <c r="N49" s="6" t="s">
        <v>470</v>
      </c>
      <c r="O49" s="6" t="s">
        <v>471</v>
      </c>
      <c r="P49" s="6" t="s">
        <v>472</v>
      </c>
      <c r="Q49" s="6" t="s">
        <v>473</v>
      </c>
      <c r="R49" s="6" t="s">
        <v>474</v>
      </c>
      <c r="S49" s="6" t="s">
        <v>475</v>
      </c>
    </row>
    <row r="50" spans="1:19" x14ac:dyDescent="0.25">
      <c r="A50" s="3" t="s">
        <v>299</v>
      </c>
      <c r="B50" s="4" t="s">
        <v>300</v>
      </c>
      <c r="C50" s="4" t="s">
        <v>301</v>
      </c>
      <c r="D50" s="4">
        <v>800</v>
      </c>
      <c r="E50" s="4">
        <v>2</v>
      </c>
      <c r="F50" s="4" t="s">
        <v>36</v>
      </c>
      <c r="G50" s="4">
        <v>16.432362118486598</v>
      </c>
      <c r="H50" s="4">
        <v>16.432362118486598</v>
      </c>
      <c r="I50" s="4">
        <v>19</v>
      </c>
      <c r="J50" s="4">
        <v>120</v>
      </c>
      <c r="K50" s="4">
        <v>0.7</v>
      </c>
      <c r="L50" s="13">
        <v>5</v>
      </c>
      <c r="M50" s="13">
        <v>1</v>
      </c>
      <c r="N50" s="14">
        <v>1800000</v>
      </c>
      <c r="O50" s="14">
        <v>14245000</v>
      </c>
      <c r="P50" s="14">
        <v>16395653.304688796</v>
      </c>
      <c r="Q50" s="15">
        <v>1.689060115895505</v>
      </c>
      <c r="R50" s="14" t="s">
        <v>36</v>
      </c>
      <c r="S50" s="4">
        <v>74</v>
      </c>
    </row>
    <row r="51" spans="1:19" x14ac:dyDescent="0.25">
      <c r="A51" s="3" t="s">
        <v>299</v>
      </c>
      <c r="B51" s="4" t="s">
        <v>307</v>
      </c>
      <c r="C51" s="4" t="s">
        <v>308</v>
      </c>
      <c r="D51" s="4">
        <v>2000</v>
      </c>
      <c r="E51" s="4">
        <v>2.6</v>
      </c>
      <c r="F51" s="4" t="s">
        <v>36</v>
      </c>
      <c r="G51" s="4">
        <v>24.239980555357477</v>
      </c>
      <c r="H51" s="4">
        <v>24.239980555357477</v>
      </c>
      <c r="I51" s="4">
        <v>7</v>
      </c>
      <c r="J51" s="4">
        <v>120</v>
      </c>
      <c r="K51" s="4" t="s">
        <v>36</v>
      </c>
      <c r="L51" s="13">
        <v>4</v>
      </c>
      <c r="M51" s="13">
        <v>2</v>
      </c>
      <c r="N51" s="14">
        <v>2940000</v>
      </c>
      <c r="O51" s="14">
        <v>17501000</v>
      </c>
      <c r="P51" s="14">
        <v>11595890.606310848</v>
      </c>
      <c r="Q51" s="15">
        <v>2.191710312530847</v>
      </c>
      <c r="R51" s="14" t="s">
        <v>36</v>
      </c>
      <c r="S51" s="4">
        <v>77</v>
      </c>
    </row>
    <row r="52" spans="1:19" x14ac:dyDescent="0.25">
      <c r="A52" s="3" t="s">
        <v>299</v>
      </c>
      <c r="B52" s="3" t="s">
        <v>313</v>
      </c>
      <c r="C52" s="4" t="s">
        <v>308</v>
      </c>
      <c r="D52" s="4">
        <v>1500</v>
      </c>
      <c r="E52" s="4">
        <v>1.5</v>
      </c>
      <c r="F52" s="4">
        <v>90</v>
      </c>
      <c r="G52" s="4">
        <v>13.562394827775483</v>
      </c>
      <c r="H52" s="4">
        <v>13.562394827775483</v>
      </c>
      <c r="I52" s="4">
        <v>6</v>
      </c>
      <c r="J52" s="4">
        <v>18</v>
      </c>
      <c r="K52" s="4">
        <v>0.75</v>
      </c>
      <c r="L52" s="13">
        <v>6</v>
      </c>
      <c r="M52" s="13">
        <v>1</v>
      </c>
      <c r="N52" s="14">
        <v>2700000</v>
      </c>
      <c r="O52" s="14">
        <v>22275000</v>
      </c>
      <c r="P52" s="14">
        <v>4409992.123809768</v>
      </c>
      <c r="Q52" s="15">
        <v>3.0583744918177285</v>
      </c>
      <c r="R52" s="14">
        <v>100000</v>
      </c>
      <c r="S52" s="4">
        <v>94</v>
      </c>
    </row>
    <row r="53" spans="1:19" x14ac:dyDescent="0.25">
      <c r="A53" s="3" t="s">
        <v>299</v>
      </c>
      <c r="B53" s="4" t="s">
        <v>317</v>
      </c>
      <c r="C53" s="4" t="s">
        <v>308</v>
      </c>
      <c r="D53" s="4">
        <v>1500</v>
      </c>
      <c r="E53" s="4">
        <v>1.5</v>
      </c>
      <c r="F53" s="4" t="s">
        <v>36</v>
      </c>
      <c r="G53" s="4">
        <v>13.562394827775483</v>
      </c>
      <c r="H53" s="4">
        <v>13.562394827775483</v>
      </c>
      <c r="I53" s="4">
        <v>15</v>
      </c>
      <c r="J53" s="4">
        <v>120</v>
      </c>
      <c r="K53" s="4">
        <v>0.7</v>
      </c>
      <c r="L53" s="13">
        <v>6</v>
      </c>
      <c r="M53" s="13">
        <v>2</v>
      </c>
      <c r="N53" s="14">
        <v>2200000</v>
      </c>
      <c r="O53" s="14">
        <v>19305000</v>
      </c>
      <c r="P53" s="14">
        <v>8673709.065248787</v>
      </c>
      <c r="Q53" s="15">
        <v>2.518827360481643</v>
      </c>
      <c r="R53" s="14" t="s">
        <v>36</v>
      </c>
      <c r="S53" s="4">
        <v>74</v>
      </c>
    </row>
    <row r="54" spans="1:19" x14ac:dyDescent="0.25">
      <c r="A54" s="3" t="s">
        <v>299</v>
      </c>
      <c r="B54" s="4" t="s">
        <v>321</v>
      </c>
      <c r="C54" s="4" t="s">
        <v>308</v>
      </c>
      <c r="D54" s="4">
        <v>1500</v>
      </c>
      <c r="E54" s="4">
        <v>1.3</v>
      </c>
      <c r="F54" s="4" t="s">
        <v>36</v>
      </c>
      <c r="G54" s="4">
        <v>17.38878916957514</v>
      </c>
      <c r="H54" s="4">
        <v>17.38878916957514</v>
      </c>
      <c r="I54" s="4" t="s">
        <v>36</v>
      </c>
      <c r="J54" s="4" t="s">
        <v>36</v>
      </c>
      <c r="K54" s="4" t="s">
        <v>36</v>
      </c>
      <c r="L54" s="13">
        <v>5</v>
      </c>
      <c r="M54" s="13">
        <v>1</v>
      </c>
      <c r="N54" s="14">
        <v>3000000</v>
      </c>
      <c r="O54" s="14">
        <v>20845000</v>
      </c>
      <c r="P54" s="14">
        <v>6170043.875535395</v>
      </c>
      <c r="Q54" s="15">
        <v>2.8231163179970133</v>
      </c>
      <c r="R54" s="14" t="s">
        <v>36</v>
      </c>
      <c r="S54" s="4">
        <v>55</v>
      </c>
    </row>
    <row r="55" spans="1:19" x14ac:dyDescent="0.25">
      <c r="A55" s="3" t="s">
        <v>299</v>
      </c>
      <c r="B55" s="3" t="s">
        <v>325</v>
      </c>
      <c r="C55" s="4" t="s">
        <v>308</v>
      </c>
      <c r="D55" s="4">
        <v>2000</v>
      </c>
      <c r="E55" s="4">
        <v>1</v>
      </c>
      <c r="F55" s="4" t="s">
        <v>36</v>
      </c>
      <c r="G55" s="4">
        <v>10.051380153361055</v>
      </c>
      <c r="H55" s="4">
        <v>10.051380153361055</v>
      </c>
      <c r="I55" s="4">
        <v>10</v>
      </c>
      <c r="J55" s="4">
        <v>78</v>
      </c>
      <c r="K55" s="4">
        <v>1.19</v>
      </c>
      <c r="L55" s="13">
        <v>8</v>
      </c>
      <c r="M55" s="13">
        <v>2</v>
      </c>
      <c r="N55" s="14">
        <v>2640000</v>
      </c>
      <c r="O55" s="14">
        <v>28237000</v>
      </c>
      <c r="P55" s="14">
        <v>-3949916.4777079304</v>
      </c>
      <c r="Q55" s="15">
        <v>4.471365339160201</v>
      </c>
      <c r="R55" s="14" t="s">
        <v>36</v>
      </c>
      <c r="S55" s="4">
        <v>90</v>
      </c>
    </row>
    <row r="56" spans="1:19" x14ac:dyDescent="0.25">
      <c r="A56" s="3" t="s">
        <v>299</v>
      </c>
      <c r="B56" s="4" t="s">
        <v>329</v>
      </c>
      <c r="C56" s="4" t="s">
        <v>308</v>
      </c>
      <c r="D56" s="4">
        <v>1200</v>
      </c>
      <c r="E56" s="4">
        <v>2</v>
      </c>
      <c r="F56" s="4" t="s">
        <v>36</v>
      </c>
      <c r="G56" s="4">
        <v>16.432362118486598</v>
      </c>
      <c r="H56" s="4">
        <v>16.432362118486598</v>
      </c>
      <c r="I56" s="4">
        <v>8</v>
      </c>
      <c r="J56" s="4">
        <v>120</v>
      </c>
      <c r="K56" s="4" t="s">
        <v>36</v>
      </c>
      <c r="L56" s="13">
        <v>5</v>
      </c>
      <c r="M56" s="13">
        <v>2</v>
      </c>
      <c r="N56" s="14">
        <v>4000000</v>
      </c>
      <c r="O56" s="14">
        <v>26675000</v>
      </c>
      <c r="P56" s="14">
        <v>-2681297.3154257727</v>
      </c>
      <c r="Q56" s="15">
        <v>4.098370460072947</v>
      </c>
      <c r="R56" s="14" t="s">
        <v>36</v>
      </c>
      <c r="S56" s="4">
        <v>74</v>
      </c>
    </row>
    <row r="57" spans="1:19" x14ac:dyDescent="0.25">
      <c r="A57" s="3" t="s">
        <v>299</v>
      </c>
      <c r="B57" s="4" t="s">
        <v>333</v>
      </c>
      <c r="C57" s="4" t="s">
        <v>308</v>
      </c>
      <c r="D57" s="4">
        <v>1500</v>
      </c>
      <c r="E57" s="4">
        <v>1.5</v>
      </c>
      <c r="F57" s="4">
        <v>50</v>
      </c>
      <c r="G57" s="4">
        <v>18.806227773262577</v>
      </c>
      <c r="H57" s="4">
        <v>18.806227773262577</v>
      </c>
      <c r="I57" s="4">
        <v>10</v>
      </c>
      <c r="J57" s="4">
        <v>120</v>
      </c>
      <c r="K57" s="4" t="s">
        <v>36</v>
      </c>
      <c r="L57" s="13">
        <v>5</v>
      </c>
      <c r="M57" s="13">
        <v>2</v>
      </c>
      <c r="N57" s="14">
        <v>4300000</v>
      </c>
      <c r="O57" s="14">
        <v>28325000</v>
      </c>
      <c r="P57" s="14">
        <v>-5237699.672714125</v>
      </c>
      <c r="Q57" s="15">
        <v>4.534768436551846</v>
      </c>
      <c r="R57" s="14" t="s">
        <v>36</v>
      </c>
      <c r="S57" s="4">
        <v>81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22" customWidth="1"/>
    <col min="3" max="3" width="26" customWidth="1"/>
    <col min="4" max="4" width="12" customWidth="1"/>
    <col min="5" max="24" width="14" customWidth="1"/>
    <col min="25" max="25" width="50" customWidth="1"/>
  </cols>
  <sheetData>
    <row r="1" spans="1:25" x14ac:dyDescent="0.25">
      <c r="A1" s="6" t="s">
        <v>58</v>
      </c>
      <c r="B1" s="6" t="s">
        <v>290</v>
      </c>
      <c r="C1" s="6" t="s">
        <v>291</v>
      </c>
      <c r="D1" s="6" t="s">
        <v>476</v>
      </c>
      <c r="E1" s="6" t="s">
        <v>477</v>
      </c>
      <c r="F1" s="6" t="s">
        <v>478</v>
      </c>
      <c r="G1" s="6" t="s">
        <v>479</v>
      </c>
      <c r="H1" s="6" t="s">
        <v>462</v>
      </c>
      <c r="I1" s="6" t="s">
        <v>463</v>
      </c>
      <c r="J1" s="6" t="s">
        <v>464</v>
      </c>
      <c r="K1" s="6" t="s">
        <v>480</v>
      </c>
      <c r="L1" s="6" t="s">
        <v>481</v>
      </c>
      <c r="M1" s="6" t="s">
        <v>482</v>
      </c>
      <c r="N1" s="6" t="s">
        <v>483</v>
      </c>
      <c r="O1" s="6" t="s">
        <v>468</v>
      </c>
      <c r="P1" s="6" t="s">
        <v>484</v>
      </c>
      <c r="Q1" s="6" t="s">
        <v>485</v>
      </c>
      <c r="R1" s="6" t="s">
        <v>469</v>
      </c>
      <c r="S1" s="6" t="s">
        <v>486</v>
      </c>
      <c r="T1" s="6" t="s">
        <v>487</v>
      </c>
      <c r="U1" s="6" t="s">
        <v>488</v>
      </c>
      <c r="V1" s="6" t="s">
        <v>489</v>
      </c>
      <c r="W1" s="6" t="s">
        <v>490</v>
      </c>
      <c r="X1" s="6" t="s">
        <v>491</v>
      </c>
      <c r="Y1" s="6" t="s">
        <v>492</v>
      </c>
    </row>
    <row r="2" spans="1:25" x14ac:dyDescent="0.25">
      <c r="A2" s="4" t="s">
        <v>26</v>
      </c>
      <c r="B2" s="4" t="s">
        <v>36</v>
      </c>
      <c r="C2" s="4" t="s">
        <v>36</v>
      </c>
      <c r="D2" s="4" t="s">
        <v>116</v>
      </c>
      <c r="E2" s="4" t="s">
        <v>36</v>
      </c>
      <c r="F2" s="4" t="s">
        <v>36</v>
      </c>
      <c r="G2" s="4" t="s">
        <v>36</v>
      </c>
      <c r="H2" s="4" t="s">
        <v>36</v>
      </c>
      <c r="I2" s="4" t="s">
        <v>36</v>
      </c>
      <c r="J2" s="4" t="s">
        <v>36</v>
      </c>
      <c r="K2" s="4" t="s">
        <v>36</v>
      </c>
      <c r="L2" s="4" t="s">
        <v>36</v>
      </c>
      <c r="M2" s="4" t="s">
        <v>36</v>
      </c>
      <c r="N2" s="4" t="s">
        <v>36</v>
      </c>
      <c r="O2" s="4" t="s">
        <v>36</v>
      </c>
      <c r="P2" s="4" t="s">
        <v>36</v>
      </c>
      <c r="Q2" s="4" t="s">
        <v>36</v>
      </c>
      <c r="R2" s="4" t="s">
        <v>36</v>
      </c>
      <c r="S2" s="4" t="s">
        <v>36</v>
      </c>
      <c r="T2" s="4" t="s">
        <v>36</v>
      </c>
      <c r="U2" s="4" t="s">
        <v>36</v>
      </c>
      <c r="V2" s="4" t="s">
        <v>36</v>
      </c>
      <c r="W2" s="4" t="s">
        <v>36</v>
      </c>
      <c r="X2" s="4" t="s">
        <v>36</v>
      </c>
      <c r="Y2" s="4" t="s">
        <v>30</v>
      </c>
    </row>
    <row r="3" spans="1:25" x14ac:dyDescent="0.25">
      <c r="A3" s="4" t="s">
        <v>27</v>
      </c>
      <c r="B3" s="3" t="s">
        <v>299</v>
      </c>
      <c r="C3" s="3" t="s">
        <v>313</v>
      </c>
      <c r="D3" s="4" t="s">
        <v>493</v>
      </c>
      <c r="E3" s="12">
        <v>950</v>
      </c>
      <c r="F3" s="16">
        <v>43.18181818181818</v>
      </c>
      <c r="G3" s="16">
        <v>51.81818181818181</v>
      </c>
      <c r="H3" s="16">
        <v>90</v>
      </c>
      <c r="I3" s="16">
        <v>13.562394827775483</v>
      </c>
      <c r="J3" s="16">
        <v>13.562394827775483</v>
      </c>
      <c r="K3" s="4" t="s">
        <v>494</v>
      </c>
      <c r="L3" s="12">
        <v>128.67131696428572</v>
      </c>
      <c r="M3" s="12">
        <v>117.32062340560566</v>
      </c>
      <c r="N3" s="16">
        <v>5.792712190658027</v>
      </c>
      <c r="O3" s="13">
        <v>6</v>
      </c>
      <c r="P3" s="4" t="s">
        <v>302</v>
      </c>
      <c r="Q3" s="12">
        <v>100</v>
      </c>
      <c r="R3" s="13">
        <v>2</v>
      </c>
      <c r="S3" s="13">
        <v>1</v>
      </c>
      <c r="T3" s="12">
        <v>20</v>
      </c>
      <c r="U3" s="16">
        <v>9.5</v>
      </c>
      <c r="V3" s="14">
        <v>37497600</v>
      </c>
      <c r="W3" s="14">
        <v>19686240</v>
      </c>
      <c r="X3" s="14">
        <v>7630657.07045109</v>
      </c>
      <c r="Y3" s="4" t="s">
        <v>36</v>
      </c>
    </row>
    <row r="4" spans="1:25" x14ac:dyDescent="0.25">
      <c r="A4" s="4" t="s">
        <v>28</v>
      </c>
      <c r="B4" s="3" t="s">
        <v>299</v>
      </c>
      <c r="C4" s="3" t="s">
        <v>313</v>
      </c>
      <c r="D4" s="4" t="s">
        <v>493</v>
      </c>
      <c r="E4" s="12">
        <v>950</v>
      </c>
      <c r="F4" s="16">
        <v>43.18181818181818</v>
      </c>
      <c r="G4" s="16">
        <v>51.81818181818181</v>
      </c>
      <c r="H4" s="16">
        <v>90</v>
      </c>
      <c r="I4" s="16">
        <v>13.562394827775483</v>
      </c>
      <c r="J4" s="16">
        <v>13.562394827775483</v>
      </c>
      <c r="K4" s="4" t="s">
        <v>494</v>
      </c>
      <c r="L4" s="12">
        <v>128.67131696428572</v>
      </c>
      <c r="M4" s="12">
        <v>117.32062340560566</v>
      </c>
      <c r="N4" s="16">
        <v>5.792712190658027</v>
      </c>
      <c r="O4" s="13">
        <v>6</v>
      </c>
      <c r="P4" s="4" t="s">
        <v>302</v>
      </c>
      <c r="Q4" s="12">
        <v>100</v>
      </c>
      <c r="R4" s="13">
        <v>2</v>
      </c>
      <c r="S4" s="13">
        <v>1</v>
      </c>
      <c r="T4" s="12">
        <v>20</v>
      </c>
      <c r="U4" s="16">
        <v>9.5</v>
      </c>
      <c r="V4" s="14">
        <v>37497600</v>
      </c>
      <c r="W4" s="14">
        <v>19686240</v>
      </c>
      <c r="X4" s="14">
        <v>7630657.07045109</v>
      </c>
      <c r="Y4" s="4" t="s">
        <v>36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40" customWidth="1"/>
    <col min="3" max="3" width="18" customWidth="1"/>
    <col min="4" max="5" width="60" customWidth="1"/>
    <col min="6" max="6" width="30" customWidth="1"/>
    <col min="7" max="7" width="44" customWidth="1"/>
  </cols>
  <sheetData>
    <row r="1" spans="1:7" x14ac:dyDescent="0.25">
      <c r="A1" s="6" t="s">
        <v>58</v>
      </c>
      <c r="B1" s="6" t="s">
        <v>495</v>
      </c>
      <c r="C1" s="6" t="s">
        <v>496</v>
      </c>
      <c r="D1" s="6" t="s">
        <v>497</v>
      </c>
      <c r="E1" s="6" t="s">
        <v>498</v>
      </c>
      <c r="F1" s="6" t="s">
        <v>499</v>
      </c>
      <c r="G1" s="6" t="s">
        <v>492</v>
      </c>
    </row>
    <row r="2" spans="1:3" s="17" customFormat="1" x14ac:dyDescent="0.25">
      <c r="A2" s="2" t="s">
        <v>26</v>
      </c>
      <c r="B2" s="2" t="s">
        <v>500</v>
      </c>
      <c r="C2" s="18">
        <v>0</v>
      </c>
    </row>
    <row r="4" spans="1:7" x14ac:dyDescent="0.25">
      <c r="A4" s="4" t="s">
        <v>27</v>
      </c>
      <c r="B4" s="4" t="s">
        <v>501</v>
      </c>
      <c r="C4" s="14">
        <v>16200000</v>
      </c>
      <c r="D4" s="4" t="s">
        <v>502</v>
      </c>
      <c r="E4" s="4" t="s">
        <v>503</v>
      </c>
      <c r="F4" s="4" t="s">
        <v>504</v>
      </c>
      <c r="G4" s="4" t="s">
        <v>36</v>
      </c>
    </row>
    <row r="5" spans="1:7" x14ac:dyDescent="0.25">
      <c r="A5" s="4" t="s">
        <v>27</v>
      </c>
      <c r="B5" s="4" t="s">
        <v>505</v>
      </c>
      <c r="C5" s="14">
        <v>600000</v>
      </c>
      <c r="D5" s="4" t="s">
        <v>506</v>
      </c>
      <c r="E5" s="4" t="s">
        <v>507</v>
      </c>
      <c r="F5" s="4" t="s">
        <v>508</v>
      </c>
      <c r="G5" s="4" t="s">
        <v>36</v>
      </c>
    </row>
    <row r="6" spans="1:7" x14ac:dyDescent="0.25">
      <c r="A6" s="4" t="s">
        <v>27</v>
      </c>
      <c r="B6" s="3" t="s">
        <v>509</v>
      </c>
      <c r="C6" s="14">
        <v>750000</v>
      </c>
      <c r="D6" s="3" t="s">
        <v>510</v>
      </c>
      <c r="E6" s="4" t="s">
        <v>511</v>
      </c>
      <c r="F6" s="4" t="s">
        <v>267</v>
      </c>
      <c r="G6" s="4" t="s">
        <v>36</v>
      </c>
    </row>
    <row r="7" spans="1:7" x14ac:dyDescent="0.25">
      <c r="A7" s="4" t="s">
        <v>27</v>
      </c>
      <c r="B7" s="4" t="s">
        <v>512</v>
      </c>
      <c r="C7" s="14">
        <v>1000000</v>
      </c>
      <c r="D7" s="3" t="s">
        <v>513</v>
      </c>
      <c r="E7" s="3" t="s">
        <v>514</v>
      </c>
      <c r="F7" s="4" t="s">
        <v>508</v>
      </c>
      <c r="G7" s="4" t="s">
        <v>36</v>
      </c>
    </row>
    <row r="8" spans="1:7" x14ac:dyDescent="0.25">
      <c r="A8" s="4" t="s">
        <v>27</v>
      </c>
      <c r="B8" s="4" t="s">
        <v>515</v>
      </c>
      <c r="C8" s="14">
        <v>1250000</v>
      </c>
      <c r="D8" s="3" t="s">
        <v>516</v>
      </c>
      <c r="E8" s="3" t="s">
        <v>517</v>
      </c>
      <c r="F8" s="4" t="s">
        <v>508</v>
      </c>
      <c r="G8" s="4" t="s">
        <v>36</v>
      </c>
    </row>
    <row r="9" spans="1:7" x14ac:dyDescent="0.25">
      <c r="A9" s="4" t="s">
        <v>27</v>
      </c>
      <c r="B9" s="4" t="s">
        <v>518</v>
      </c>
      <c r="C9" s="14">
        <v>600000</v>
      </c>
      <c r="D9" s="4" t="s">
        <v>519</v>
      </c>
      <c r="E9" s="4" t="s">
        <v>520</v>
      </c>
      <c r="F9" s="3" t="s">
        <v>521</v>
      </c>
      <c r="G9" s="4" t="s">
        <v>36</v>
      </c>
    </row>
    <row r="10" spans="1:7" x14ac:dyDescent="0.25">
      <c r="A10" s="4" t="s">
        <v>27</v>
      </c>
      <c r="B10" s="4" t="s">
        <v>522</v>
      </c>
      <c r="C10" s="14">
        <v>150000</v>
      </c>
      <c r="D10" s="3" t="s">
        <v>523</v>
      </c>
      <c r="E10" s="4" t="s">
        <v>524</v>
      </c>
      <c r="F10" s="4" t="s">
        <v>267</v>
      </c>
      <c r="G10" s="4" t="s">
        <v>36</v>
      </c>
    </row>
    <row r="11" spans="1:7" x14ac:dyDescent="0.25">
      <c r="A11" s="4" t="s">
        <v>27</v>
      </c>
      <c r="B11" s="4" t="s">
        <v>525</v>
      </c>
      <c r="C11" s="14">
        <v>2055000</v>
      </c>
      <c r="D11" s="3" t="s">
        <v>526</v>
      </c>
      <c r="E11" s="4" t="s">
        <v>527</v>
      </c>
      <c r="F11" s="4" t="s">
        <v>504</v>
      </c>
      <c r="G11" s="4" t="s">
        <v>36</v>
      </c>
    </row>
    <row r="12" spans="1:3" s="17" customFormat="1" x14ac:dyDescent="0.25">
      <c r="A12" s="2" t="s">
        <v>27</v>
      </c>
      <c r="B12" s="2" t="s">
        <v>500</v>
      </c>
      <c r="C12" s="18">
        <f>SUM(C4:C11)</f>
        <v>22605000</v>
      </c>
    </row>
    <row r="14" spans="1:7" x14ac:dyDescent="0.25">
      <c r="A14" s="4" t="s">
        <v>28</v>
      </c>
      <c r="B14" s="4" t="s">
        <v>501</v>
      </c>
      <c r="C14" s="14">
        <v>0</v>
      </c>
      <c r="D14" s="4" t="s">
        <v>502</v>
      </c>
      <c r="E14" s="4" t="s">
        <v>528</v>
      </c>
      <c r="F14" s="3" t="s">
        <v>529</v>
      </c>
      <c r="G14" s="3" t="s">
        <v>530</v>
      </c>
    </row>
    <row r="15" spans="1:7" x14ac:dyDescent="0.25">
      <c r="A15" s="4" t="s">
        <v>28</v>
      </c>
      <c r="B15" s="4" t="s">
        <v>505</v>
      </c>
      <c r="C15" s="14">
        <v>0</v>
      </c>
      <c r="D15" s="4" t="s">
        <v>506</v>
      </c>
      <c r="E15" s="4" t="s">
        <v>528</v>
      </c>
      <c r="F15" s="3" t="s">
        <v>529</v>
      </c>
      <c r="G15" s="3" t="s">
        <v>530</v>
      </c>
    </row>
    <row r="16" spans="1:7" x14ac:dyDescent="0.25">
      <c r="A16" s="4" t="s">
        <v>28</v>
      </c>
      <c r="B16" s="3" t="s">
        <v>509</v>
      </c>
      <c r="C16" s="14">
        <v>0</v>
      </c>
      <c r="D16" s="3" t="s">
        <v>510</v>
      </c>
      <c r="E16" s="4" t="s">
        <v>528</v>
      </c>
      <c r="F16" s="3" t="s">
        <v>529</v>
      </c>
      <c r="G16" s="3" t="s">
        <v>530</v>
      </c>
    </row>
    <row r="17" spans="1:7" x14ac:dyDescent="0.25">
      <c r="A17" s="4" t="s">
        <v>28</v>
      </c>
      <c r="B17" s="4" t="s">
        <v>512</v>
      </c>
      <c r="C17" s="14">
        <v>0</v>
      </c>
      <c r="D17" s="3" t="s">
        <v>513</v>
      </c>
      <c r="E17" s="4" t="s">
        <v>528</v>
      </c>
      <c r="F17" s="3" t="s">
        <v>529</v>
      </c>
      <c r="G17" s="3" t="s">
        <v>530</v>
      </c>
    </row>
    <row r="18" spans="1:7" x14ac:dyDescent="0.25">
      <c r="A18" s="4" t="s">
        <v>28</v>
      </c>
      <c r="B18" s="4" t="s">
        <v>515</v>
      </c>
      <c r="C18" s="14">
        <v>1250000</v>
      </c>
      <c r="D18" s="3" t="s">
        <v>516</v>
      </c>
      <c r="E18" s="3" t="s">
        <v>517</v>
      </c>
      <c r="F18" s="4" t="s">
        <v>508</v>
      </c>
      <c r="G18" s="4" t="s">
        <v>36</v>
      </c>
    </row>
    <row r="19" spans="1:7" x14ac:dyDescent="0.25">
      <c r="A19" s="4" t="s">
        <v>28</v>
      </c>
      <c r="B19" s="4" t="s">
        <v>518</v>
      </c>
      <c r="C19" s="14">
        <v>0</v>
      </c>
      <c r="D19" s="4" t="s">
        <v>519</v>
      </c>
      <c r="E19" s="4" t="s">
        <v>528</v>
      </c>
      <c r="F19" s="3" t="s">
        <v>529</v>
      </c>
      <c r="G19" s="3" t="s">
        <v>530</v>
      </c>
    </row>
    <row r="20" spans="1:7" x14ac:dyDescent="0.25">
      <c r="A20" s="4" t="s">
        <v>28</v>
      </c>
      <c r="B20" s="4" t="s">
        <v>522</v>
      </c>
      <c r="C20" s="14">
        <v>150000</v>
      </c>
      <c r="D20" s="3" t="s">
        <v>523</v>
      </c>
      <c r="E20" s="4" t="s">
        <v>524</v>
      </c>
      <c r="F20" s="4" t="s">
        <v>267</v>
      </c>
      <c r="G20" s="4" t="s">
        <v>36</v>
      </c>
    </row>
    <row r="21" spans="1:7" x14ac:dyDescent="0.25">
      <c r="A21" s="4" t="s">
        <v>28</v>
      </c>
      <c r="B21" s="4" t="s">
        <v>525</v>
      </c>
      <c r="C21" s="14">
        <v>140000</v>
      </c>
      <c r="D21" s="3" t="s">
        <v>526</v>
      </c>
      <c r="E21" s="4" t="s">
        <v>531</v>
      </c>
      <c r="F21" s="4" t="s">
        <v>504</v>
      </c>
      <c r="G21" s="4" t="s">
        <v>36</v>
      </c>
    </row>
    <row r="22" spans="1:3" s="17" customFormat="1" x14ac:dyDescent="0.25">
      <c r="A22" s="2" t="s">
        <v>28</v>
      </c>
      <c r="B22" s="2" t="s">
        <v>500</v>
      </c>
      <c r="C22" s="18">
        <f>SUM(C14:C21)</f>
        <v>1540000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40" customWidth="1"/>
    <col min="3" max="3" width="18" customWidth="1"/>
    <col min="4" max="5" width="60" customWidth="1"/>
    <col min="6" max="6" width="30" customWidth="1"/>
    <col min="7" max="7" width="44" customWidth="1"/>
  </cols>
  <sheetData>
    <row r="1" spans="1:7" x14ac:dyDescent="0.25">
      <c r="A1" s="6" t="s">
        <v>58</v>
      </c>
      <c r="B1" s="6" t="s">
        <v>495</v>
      </c>
      <c r="C1" s="6" t="s">
        <v>496</v>
      </c>
      <c r="D1" s="6" t="s">
        <v>497</v>
      </c>
      <c r="E1" s="6" t="s">
        <v>498</v>
      </c>
      <c r="F1" s="6" t="s">
        <v>499</v>
      </c>
      <c r="G1" s="6" t="s">
        <v>492</v>
      </c>
    </row>
    <row r="2" spans="1:7" x14ac:dyDescent="0.25">
      <c r="A2" s="4" t="s">
        <v>26</v>
      </c>
      <c r="B2" s="4" t="s">
        <v>532</v>
      </c>
      <c r="C2" s="14">
        <v>37497600</v>
      </c>
      <c r="D2" s="3" t="s">
        <v>533</v>
      </c>
      <c r="E2" s="4" t="s">
        <v>534</v>
      </c>
      <c r="F2" s="4" t="s">
        <v>275</v>
      </c>
      <c r="G2" s="4" t="s">
        <v>36</v>
      </c>
    </row>
    <row r="3" spans="1:3" s="17" customFormat="1" x14ac:dyDescent="0.25">
      <c r="A3" s="2" t="s">
        <v>26</v>
      </c>
      <c r="B3" s="2" t="s">
        <v>535</v>
      </c>
      <c r="C3" s="18">
        <f>SUM(C2:C2)</f>
        <v>37497600</v>
      </c>
    </row>
    <row r="5" spans="1:7" x14ac:dyDescent="0.25">
      <c r="A5" s="4" t="s">
        <v>27</v>
      </c>
      <c r="B5" s="4" t="s">
        <v>536</v>
      </c>
      <c r="C5" s="14">
        <v>1800000</v>
      </c>
      <c r="D5" s="3" t="s">
        <v>537</v>
      </c>
      <c r="E5" s="4" t="s">
        <v>538</v>
      </c>
      <c r="F5" s="4" t="s">
        <v>508</v>
      </c>
      <c r="G5" s="4" t="s">
        <v>36</v>
      </c>
    </row>
    <row r="6" spans="1:7" x14ac:dyDescent="0.25">
      <c r="A6" s="4" t="s">
        <v>27</v>
      </c>
      <c r="B6" s="4" t="s">
        <v>539</v>
      </c>
      <c r="C6" s="14">
        <v>0</v>
      </c>
      <c r="D6" s="3" t="s">
        <v>540</v>
      </c>
      <c r="E6" s="3" t="s">
        <v>541</v>
      </c>
      <c r="F6" s="3" t="s">
        <v>542</v>
      </c>
      <c r="G6" s="4" t="s">
        <v>36</v>
      </c>
    </row>
    <row r="7" spans="1:7" x14ac:dyDescent="0.25">
      <c r="A7" s="4" t="s">
        <v>27</v>
      </c>
      <c r="B7" s="4" t="s">
        <v>543</v>
      </c>
      <c r="C7" s="14">
        <v>134422.2</v>
      </c>
      <c r="D7" s="3" t="s">
        <v>544</v>
      </c>
      <c r="E7" s="3" t="s">
        <v>545</v>
      </c>
      <c r="F7" s="4" t="s">
        <v>267</v>
      </c>
      <c r="G7" s="4" t="s">
        <v>36</v>
      </c>
    </row>
    <row r="8" spans="1:7" x14ac:dyDescent="0.25">
      <c r="A8" s="4" t="s">
        <v>27</v>
      </c>
      <c r="B8" s="4" t="s">
        <v>546</v>
      </c>
      <c r="C8" s="14">
        <v>72000</v>
      </c>
      <c r="D8" s="4" t="s">
        <v>547</v>
      </c>
      <c r="E8" s="4" t="s">
        <v>548</v>
      </c>
      <c r="F8" s="4" t="s">
        <v>267</v>
      </c>
      <c r="G8" s="4" t="s">
        <v>36</v>
      </c>
    </row>
    <row r="9" spans="1:7" x14ac:dyDescent="0.25">
      <c r="A9" s="4" t="s">
        <v>27</v>
      </c>
      <c r="B9" s="4" t="s">
        <v>549</v>
      </c>
      <c r="C9" s="14">
        <v>162000</v>
      </c>
      <c r="D9" s="3" t="s">
        <v>550</v>
      </c>
      <c r="E9" s="4" t="s">
        <v>551</v>
      </c>
      <c r="F9" s="4" t="s">
        <v>267</v>
      </c>
      <c r="G9" s="4" t="s">
        <v>36</v>
      </c>
    </row>
    <row r="10" spans="1:7" x14ac:dyDescent="0.25">
      <c r="A10" s="4" t="s">
        <v>27</v>
      </c>
      <c r="B10" s="4" t="s">
        <v>552</v>
      </c>
      <c r="C10" s="14">
        <v>324000</v>
      </c>
      <c r="D10" s="3" t="s">
        <v>553</v>
      </c>
      <c r="E10" s="4" t="s">
        <v>554</v>
      </c>
      <c r="F10" s="4" t="s">
        <v>267</v>
      </c>
      <c r="G10" s="4" t="s">
        <v>36</v>
      </c>
    </row>
    <row r="11" spans="1:7" x14ac:dyDescent="0.25">
      <c r="A11" s="4" t="s">
        <v>27</v>
      </c>
      <c r="B11" s="4" t="s">
        <v>555</v>
      </c>
      <c r="C11" s="14">
        <v>405000</v>
      </c>
      <c r="D11" s="3" t="s">
        <v>556</v>
      </c>
      <c r="E11" s="4" t="s">
        <v>557</v>
      </c>
      <c r="F11" s="4" t="s">
        <v>267</v>
      </c>
      <c r="G11" s="4" t="s">
        <v>36</v>
      </c>
    </row>
    <row r="12" spans="1:7" x14ac:dyDescent="0.25">
      <c r="A12" s="4" t="s">
        <v>27</v>
      </c>
      <c r="B12" s="4" t="s">
        <v>558</v>
      </c>
      <c r="C12" s="14">
        <v>7630657.07045109</v>
      </c>
      <c r="D12" s="3" t="s">
        <v>559</v>
      </c>
      <c r="E12" s="3" t="s">
        <v>560</v>
      </c>
      <c r="F12" s="4" t="s">
        <v>267</v>
      </c>
      <c r="G12" s="4" t="s">
        <v>36</v>
      </c>
    </row>
    <row r="13" spans="1:7" x14ac:dyDescent="0.25">
      <c r="A13" s="4" t="s">
        <v>27</v>
      </c>
      <c r="B13" s="4" t="s">
        <v>561</v>
      </c>
      <c r="C13" s="14">
        <v>19686240</v>
      </c>
      <c r="D13" s="4" t="s">
        <v>562</v>
      </c>
      <c r="E13" s="4" t="s">
        <v>563</v>
      </c>
      <c r="F13" s="3" t="s">
        <v>564</v>
      </c>
      <c r="G13" s="4" t="s">
        <v>36</v>
      </c>
    </row>
    <row r="14" spans="1:3" s="17" customFormat="1" x14ac:dyDescent="0.25">
      <c r="A14" s="2" t="s">
        <v>27</v>
      </c>
      <c r="B14" s="2" t="s">
        <v>535</v>
      </c>
      <c r="C14" s="18">
        <f>SUM(C5:C13)</f>
        <v>30214319.27045109</v>
      </c>
    </row>
    <row r="16" spans="1:7" x14ac:dyDescent="0.25">
      <c r="A16" s="4" t="s">
        <v>28</v>
      </c>
      <c r="B16" s="4" t="s">
        <v>565</v>
      </c>
      <c r="C16" s="14">
        <v>7200000</v>
      </c>
      <c r="D16" s="4" t="s">
        <v>566</v>
      </c>
      <c r="E16" s="4" t="s">
        <v>567</v>
      </c>
      <c r="F16" s="3" t="s">
        <v>568</v>
      </c>
      <c r="G16" s="4" t="s">
        <v>36</v>
      </c>
    </row>
    <row r="17" spans="1:7" x14ac:dyDescent="0.25">
      <c r="A17" s="4" t="s">
        <v>28</v>
      </c>
      <c r="B17" s="4" t="s">
        <v>536</v>
      </c>
      <c r="C17" s="14">
        <v>0</v>
      </c>
      <c r="D17" s="3" t="s">
        <v>537</v>
      </c>
      <c r="E17" s="4" t="s">
        <v>528</v>
      </c>
      <c r="F17" s="3" t="s">
        <v>529</v>
      </c>
      <c r="G17" s="3" t="s">
        <v>530</v>
      </c>
    </row>
    <row r="18" spans="1:7" x14ac:dyDescent="0.25">
      <c r="A18" s="4" t="s">
        <v>28</v>
      </c>
      <c r="B18" s="4" t="s">
        <v>539</v>
      </c>
      <c r="C18" s="14">
        <v>0</v>
      </c>
      <c r="D18" s="3" t="s">
        <v>540</v>
      </c>
      <c r="E18" s="4" t="s">
        <v>528</v>
      </c>
      <c r="F18" s="3" t="s">
        <v>529</v>
      </c>
      <c r="G18" s="3" t="s">
        <v>530</v>
      </c>
    </row>
    <row r="19" spans="1:7" x14ac:dyDescent="0.25">
      <c r="A19" s="4" t="s">
        <v>28</v>
      </c>
      <c r="B19" s="4" t="s">
        <v>543</v>
      </c>
      <c r="C19" s="14">
        <v>134422.2</v>
      </c>
      <c r="D19" s="3" t="s">
        <v>544</v>
      </c>
      <c r="E19" s="3" t="s">
        <v>545</v>
      </c>
      <c r="F19" s="4" t="s">
        <v>267</v>
      </c>
      <c r="G19" s="4" t="s">
        <v>36</v>
      </c>
    </row>
    <row r="20" spans="1:7" x14ac:dyDescent="0.25">
      <c r="A20" s="4" t="s">
        <v>28</v>
      </c>
      <c r="B20" s="4" t="s">
        <v>546</v>
      </c>
      <c r="C20" s="14">
        <v>72000</v>
      </c>
      <c r="D20" s="4" t="s">
        <v>547</v>
      </c>
      <c r="E20" s="4" t="s">
        <v>548</v>
      </c>
      <c r="F20" s="4" t="s">
        <v>267</v>
      </c>
      <c r="G20" s="4" t="s">
        <v>36</v>
      </c>
    </row>
    <row r="21" spans="1:7" x14ac:dyDescent="0.25">
      <c r="A21" s="4" t="s">
        <v>28</v>
      </c>
      <c r="B21" s="4" t="s">
        <v>549</v>
      </c>
      <c r="C21" s="14">
        <v>0</v>
      </c>
      <c r="D21" s="3" t="s">
        <v>550</v>
      </c>
      <c r="E21" s="4" t="s">
        <v>528</v>
      </c>
      <c r="F21" s="3" t="s">
        <v>529</v>
      </c>
      <c r="G21" s="3" t="s">
        <v>530</v>
      </c>
    </row>
    <row r="22" spans="1:7" x14ac:dyDescent="0.25">
      <c r="A22" s="4" t="s">
        <v>28</v>
      </c>
      <c r="B22" s="4" t="s">
        <v>552</v>
      </c>
      <c r="C22" s="14">
        <v>0</v>
      </c>
      <c r="D22" s="3" t="s">
        <v>553</v>
      </c>
      <c r="E22" s="4" t="s">
        <v>528</v>
      </c>
      <c r="F22" s="3" t="s">
        <v>529</v>
      </c>
      <c r="G22" s="3" t="s">
        <v>530</v>
      </c>
    </row>
    <row r="23" spans="1:7" x14ac:dyDescent="0.25">
      <c r="A23" s="4" t="s">
        <v>28</v>
      </c>
      <c r="B23" s="4" t="s">
        <v>555</v>
      </c>
      <c r="C23" s="14">
        <v>0</v>
      </c>
      <c r="D23" s="3" t="s">
        <v>556</v>
      </c>
      <c r="E23" s="4" t="s">
        <v>528</v>
      </c>
      <c r="F23" s="3" t="s">
        <v>529</v>
      </c>
      <c r="G23" s="3" t="s">
        <v>530</v>
      </c>
    </row>
    <row r="24" spans="1:7" x14ac:dyDescent="0.25">
      <c r="A24" s="4" t="s">
        <v>28</v>
      </c>
      <c r="B24" s="4" t="s">
        <v>558</v>
      </c>
      <c r="C24" s="14">
        <v>7630657.07045109</v>
      </c>
      <c r="D24" s="3" t="s">
        <v>559</v>
      </c>
      <c r="E24" s="3" t="s">
        <v>560</v>
      </c>
      <c r="F24" s="4" t="s">
        <v>267</v>
      </c>
      <c r="G24" s="4" t="s">
        <v>36</v>
      </c>
    </row>
    <row r="25" spans="1:7" x14ac:dyDescent="0.25">
      <c r="A25" s="4" t="s">
        <v>28</v>
      </c>
      <c r="B25" s="4" t="s">
        <v>561</v>
      </c>
      <c r="C25" s="14">
        <v>19686240</v>
      </c>
      <c r="D25" s="4" t="s">
        <v>562</v>
      </c>
      <c r="E25" s="4" t="s">
        <v>563</v>
      </c>
      <c r="F25" s="3" t="s">
        <v>564</v>
      </c>
      <c r="G25" s="4" t="s">
        <v>36</v>
      </c>
    </row>
    <row r="26" spans="1:3" s="17" customFormat="1" x14ac:dyDescent="0.25">
      <c r="A26" s="2" t="s">
        <v>28</v>
      </c>
      <c r="B26" s="2" t="s">
        <v>535</v>
      </c>
      <c r="C26" s="18">
        <f>SUM(C16:C25)</f>
        <v>34723319.27045109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46" customWidth="1"/>
    <col min="2" max="3" width="20" customWidth="1"/>
    <col min="4" max="5" width="16" customWidth="1"/>
    <col min="6" max="7" width="20" customWidth="1"/>
    <col min="8" max="8" width="22" customWidth="1"/>
    <col min="9" max="9" width="24" customWidth="1"/>
  </cols>
  <sheetData>
    <row r="1" spans="1:1" x14ac:dyDescent="0.25">
      <c r="A1" s="5" t="s">
        <v>569</v>
      </c>
    </row>
    <row r="2" spans="1:1" x14ac:dyDescent="0.25">
      <c r="A2" s="4" t="s">
        <v>570</v>
      </c>
    </row>
    <row r="4" spans="1:1" x14ac:dyDescent="0.25">
      <c r="A4" s="5" t="s">
        <v>571</v>
      </c>
    </row>
    <row r="5" spans="1:2" x14ac:dyDescent="0.25">
      <c r="A5" s="2" t="s">
        <v>572</v>
      </c>
      <c r="B5" s="19">
        <v>0.12</v>
      </c>
    </row>
    <row r="6" spans="1:2" x14ac:dyDescent="0.25">
      <c r="A6" s="2" t="s">
        <v>573</v>
      </c>
      <c r="B6" s="4">
        <v>5</v>
      </c>
    </row>
    <row r="7" spans="1:2" x14ac:dyDescent="0.25">
      <c r="A7" s="2" t="s">
        <v>574</v>
      </c>
      <c r="B7" s="4">
        <v>5</v>
      </c>
    </row>
    <row r="8" spans="1:2" x14ac:dyDescent="0.25">
      <c r="A8" s="20" t="s">
        <v>575</v>
      </c>
      <c r="B8" s="14">
        <v>37497600</v>
      </c>
    </row>
    <row r="9" spans="1:2" x14ac:dyDescent="0.25">
      <c r="A9" s="2" t="s">
        <v>576</v>
      </c>
      <c r="B9" s="14">
        <v>37497600</v>
      </c>
    </row>
    <row r="10" spans="1:9" x14ac:dyDescent="0.25">
      <c r="A10" s="6" t="s">
        <v>577</v>
      </c>
      <c r="B10" s="6" t="s">
        <v>578</v>
      </c>
      <c r="C10" s="6" t="s">
        <v>579</v>
      </c>
      <c r="D10" s="6" t="s">
        <v>580</v>
      </c>
      <c r="E10" s="6" t="s">
        <v>581</v>
      </c>
      <c r="F10" s="6" t="s">
        <v>582</v>
      </c>
      <c r="G10" s="6" t="s">
        <v>583</v>
      </c>
      <c r="H10" s="6" t="s">
        <v>584</v>
      </c>
      <c r="I10" s="6" t="s">
        <v>585</v>
      </c>
    </row>
    <row r="11" spans="1:9" x14ac:dyDescent="0.25">
      <c r="A11" s="4">
        <v>0</v>
      </c>
      <c r="B11" s="14">
        <v>0</v>
      </c>
      <c r="C11" s="14">
        <v>0</v>
      </c>
      <c r="D11" s="14">
        <v>0</v>
      </c>
      <c r="E11" s="14">
        <v>0</v>
      </c>
      <c r="F11" s="14">
        <v>0</v>
      </c>
      <c r="G11" s="14">
        <f>-B11</f>
        <v>0</v>
      </c>
      <c r="H11" s="14">
        <f>G11</f>
        <v>0</v>
      </c>
      <c r="I11" s="14">
        <f>G11/(1+$B$5)^A11</f>
        <v>0</v>
      </c>
    </row>
    <row r="12" spans="1:9" x14ac:dyDescent="0.25">
      <c r="A12" s="4">
        <v>1</v>
      </c>
      <c r="B12" s="14">
        <v>0</v>
      </c>
      <c r="C12" s="14">
        <v>37497600</v>
      </c>
      <c r="D12" s="14">
        <v>0</v>
      </c>
      <c r="E12" s="14">
        <v>0</v>
      </c>
      <c r="F12" s="14">
        <f>$B$8-C12</f>
        <v>0</v>
      </c>
      <c r="G12" s="14">
        <f>F12-E12</f>
        <v>0</v>
      </c>
      <c r="H12" s="14">
        <f>H11+G12</f>
        <v>0</v>
      </c>
      <c r="I12" s="14">
        <f>G12/(1+$B$5)^A12</f>
        <v>0</v>
      </c>
    </row>
    <row r="13" spans="1:9" x14ac:dyDescent="0.25">
      <c r="A13" s="4">
        <v>2</v>
      </c>
      <c r="B13" s="14">
        <v>0</v>
      </c>
      <c r="C13" s="14">
        <v>37497600</v>
      </c>
      <c r="D13" s="14">
        <v>0</v>
      </c>
      <c r="E13" s="14">
        <v>0</v>
      </c>
      <c r="F13" s="14">
        <f>$B$8-C13</f>
        <v>0</v>
      </c>
      <c r="G13" s="14">
        <f>F13-E13</f>
        <v>0</v>
      </c>
      <c r="H13" s="14">
        <f>H12+G13</f>
        <v>0</v>
      </c>
      <c r="I13" s="14">
        <f>G13/(1+$B$5)^A13</f>
        <v>0</v>
      </c>
    </row>
    <row r="14" spans="1:9" x14ac:dyDescent="0.25">
      <c r="A14" s="4">
        <v>3</v>
      </c>
      <c r="B14" s="14">
        <v>0</v>
      </c>
      <c r="C14" s="14">
        <v>37497600</v>
      </c>
      <c r="D14" s="14">
        <v>0</v>
      </c>
      <c r="E14" s="14">
        <v>0</v>
      </c>
      <c r="F14" s="14">
        <f>$B$8-C14</f>
        <v>0</v>
      </c>
      <c r="G14" s="14">
        <f>F14-E14</f>
        <v>0</v>
      </c>
      <c r="H14" s="14">
        <f>H13+G14</f>
        <v>0</v>
      </c>
      <c r="I14" s="14">
        <f>G14/(1+$B$5)^A14</f>
        <v>0</v>
      </c>
    </row>
    <row r="15" spans="1:9" x14ac:dyDescent="0.25">
      <c r="A15" s="4">
        <v>4</v>
      </c>
      <c r="B15" s="14">
        <v>0</v>
      </c>
      <c r="C15" s="14">
        <v>37497600</v>
      </c>
      <c r="D15" s="14">
        <v>0</v>
      </c>
      <c r="E15" s="14">
        <v>0</v>
      </c>
      <c r="F15" s="14">
        <f>$B$8-C15</f>
        <v>0</v>
      </c>
      <c r="G15" s="14">
        <f>F15-E15</f>
        <v>0</v>
      </c>
      <c r="H15" s="14">
        <f>H14+G15</f>
        <v>0</v>
      </c>
      <c r="I15" s="14">
        <f>G15/(1+$B$5)^A15</f>
        <v>0</v>
      </c>
    </row>
    <row r="16" spans="1:9" x14ac:dyDescent="0.25">
      <c r="A16" s="4">
        <v>5</v>
      </c>
      <c r="B16" s="14">
        <v>0</v>
      </c>
      <c r="C16" s="14">
        <v>37497600</v>
      </c>
      <c r="D16" s="14">
        <v>0</v>
      </c>
      <c r="E16" s="14">
        <v>0</v>
      </c>
      <c r="F16" s="14">
        <f>$B$8-C16</f>
        <v>0</v>
      </c>
      <c r="G16" s="14">
        <f>F16-E16</f>
        <v>0</v>
      </c>
      <c r="H16" s="14">
        <f>H15+G16</f>
        <v>0</v>
      </c>
      <c r="I16" s="14">
        <f>G16/(1+$B$5)^A16</f>
        <v>0</v>
      </c>
    </row>
    <row r="18" spans="1:2" x14ac:dyDescent="0.25">
      <c r="A18" s="2" t="s">
        <v>578</v>
      </c>
      <c r="B18" s="14">
        <f>B11</f>
        <v>0</v>
      </c>
    </row>
    <row r="19" spans="1:2" x14ac:dyDescent="0.25">
      <c r="A19" s="2" t="s">
        <v>586</v>
      </c>
      <c r="B19" s="14">
        <f>B8-B9</f>
        <v>0</v>
      </c>
    </row>
    <row r="20" spans="1:2" x14ac:dyDescent="0.25">
      <c r="A20" s="2" t="s">
        <v>587</v>
      </c>
      <c r="B20" s="3" t="s">
        <v>588</v>
      </c>
    </row>
    <row r="21" spans="1:2" x14ac:dyDescent="0.25">
      <c r="A21" s="2" t="s">
        <v>589</v>
      </c>
      <c r="B21" s="14">
        <f>B11+SUM(C12:C16)+SUM(E12:E16)</f>
        <v>187488000</v>
      </c>
    </row>
    <row r="22" spans="1:2" x14ac:dyDescent="0.25">
      <c r="A22" s="2" t="s">
        <v>590</v>
      </c>
      <c r="B22" s="14">
        <f>B7*B8</f>
        <v>187488000</v>
      </c>
    </row>
    <row r="24" spans="1:1" x14ac:dyDescent="0.25">
      <c r="A24" s="5" t="s">
        <v>591</v>
      </c>
    </row>
    <row r="25" spans="1:2" x14ac:dyDescent="0.25">
      <c r="A25" s="2" t="s">
        <v>572</v>
      </c>
      <c r="B25" s="19">
        <v>0.12</v>
      </c>
    </row>
    <row r="26" spans="1:2" x14ac:dyDescent="0.25">
      <c r="A26" s="2" t="s">
        <v>573</v>
      </c>
      <c r="B26" s="4">
        <v>5</v>
      </c>
    </row>
    <row r="27" spans="1:2" x14ac:dyDescent="0.25">
      <c r="A27" s="2" t="s">
        <v>574</v>
      </c>
      <c r="B27" s="4">
        <v>5</v>
      </c>
    </row>
    <row r="28" spans="1:2" x14ac:dyDescent="0.25">
      <c r="A28" s="20" t="s">
        <v>575</v>
      </c>
      <c r="B28" s="14">
        <v>37497600</v>
      </c>
    </row>
    <row r="29" spans="1:2" x14ac:dyDescent="0.25">
      <c r="A29" s="2" t="s">
        <v>576</v>
      </c>
      <c r="B29" s="14">
        <v>30214319.27045109</v>
      </c>
    </row>
    <row r="30" spans="1:9" x14ac:dyDescent="0.25">
      <c r="A30" s="6" t="s">
        <v>577</v>
      </c>
      <c r="B30" s="6" t="s">
        <v>578</v>
      </c>
      <c r="C30" s="6" t="s">
        <v>579</v>
      </c>
      <c r="D30" s="6" t="s">
        <v>580</v>
      </c>
      <c r="E30" s="6" t="s">
        <v>581</v>
      </c>
      <c r="F30" s="6" t="s">
        <v>582</v>
      </c>
      <c r="G30" s="6" t="s">
        <v>583</v>
      </c>
      <c r="H30" s="6" t="s">
        <v>584</v>
      </c>
      <c r="I30" s="6" t="s">
        <v>585</v>
      </c>
    </row>
    <row r="31" spans="1:9" x14ac:dyDescent="0.25">
      <c r="A31" s="4">
        <v>0</v>
      </c>
      <c r="B31" s="14">
        <v>22605000</v>
      </c>
      <c r="C31" s="14">
        <v>0</v>
      </c>
      <c r="D31" s="14">
        <v>0</v>
      </c>
      <c r="E31" s="14">
        <v>0</v>
      </c>
      <c r="F31" s="14">
        <v>0</v>
      </c>
      <c r="G31" s="14">
        <f>-B31</f>
        <v>-22605000</v>
      </c>
      <c r="H31" s="14">
        <f>G31</f>
        <v>-22605000</v>
      </c>
      <c r="I31" s="14">
        <f>G31/(1+$B$25)^A31</f>
        <v>-22605000</v>
      </c>
    </row>
    <row r="32" spans="1:9" x14ac:dyDescent="0.25">
      <c r="A32" s="4">
        <v>1</v>
      </c>
      <c r="B32" s="14">
        <v>0</v>
      </c>
      <c r="C32" s="14">
        <v>29809319.27045109</v>
      </c>
      <c r="D32" s="14">
        <v>0</v>
      </c>
      <c r="E32" s="14">
        <v>0</v>
      </c>
      <c r="F32" s="14">
        <f>$B$28-C32</f>
        <v>7688280.729548909</v>
      </c>
      <c r="G32" s="14">
        <f>F32-E32</f>
        <v>7688280.729548909</v>
      </c>
      <c r="H32" s="14">
        <f>H31+G32</f>
        <v>-14916719.270451091</v>
      </c>
      <c r="I32" s="14">
        <f>G32/(1+$B$25)^A32</f>
        <v>6864536.3656686675</v>
      </c>
    </row>
    <row r="33" spans="1:9" x14ac:dyDescent="0.25">
      <c r="A33" s="4">
        <v>2</v>
      </c>
      <c r="B33" s="14">
        <v>0</v>
      </c>
      <c r="C33" s="14">
        <v>29809319.27045109</v>
      </c>
      <c r="D33" s="14">
        <v>0</v>
      </c>
      <c r="E33" s="14">
        <v>0</v>
      </c>
      <c r="F33" s="14">
        <f>$B$28-C33</f>
        <v>7688280.729548909</v>
      </c>
      <c r="G33" s="14">
        <f>F33-E33</f>
        <v>7688280.729548909</v>
      </c>
      <c r="H33" s="14">
        <f>H32+G33</f>
        <v>-7228438.540902182</v>
      </c>
      <c r="I33" s="14">
        <f>G33/(1+$B$25)^A33</f>
        <v>6129050.326489882</v>
      </c>
    </row>
    <row r="34" spans="1:9" x14ac:dyDescent="0.25">
      <c r="A34" s="4">
        <v>3</v>
      </c>
      <c r="B34" s="14">
        <v>0</v>
      </c>
      <c r="C34" s="14">
        <v>29809319.27045109</v>
      </c>
      <c r="D34" s="14">
        <v>0</v>
      </c>
      <c r="E34" s="14">
        <v>0</v>
      </c>
      <c r="F34" s="14">
        <f>$B$28-C34</f>
        <v>7688280.729548909</v>
      </c>
      <c r="G34" s="14">
        <f>F34-E34</f>
        <v>7688280.729548909</v>
      </c>
      <c r="H34" s="14">
        <f>H33+G34</f>
        <v>459842.1886467263</v>
      </c>
      <c r="I34" s="14">
        <f>G34/(1+$B$25)^A34</f>
        <v>5472366.362937394</v>
      </c>
    </row>
    <row r="35" spans="1:9" x14ac:dyDescent="0.25">
      <c r="A35" s="4">
        <v>4</v>
      </c>
      <c r="B35" s="14">
        <v>0</v>
      </c>
      <c r="C35" s="14">
        <v>31429319.27045109</v>
      </c>
      <c r="D35" s="14">
        <v>1620000</v>
      </c>
      <c r="E35" s="14">
        <v>0</v>
      </c>
      <c r="F35" s="14">
        <f>$B$28-C35</f>
        <v>6068280.729548909</v>
      </c>
      <c r="G35" s="14">
        <f>F35-E35</f>
        <v>6068280.729548909</v>
      </c>
      <c r="H35" s="14">
        <f>H34+G35</f>
        <v>6528122.918195635</v>
      </c>
      <c r="I35" s="14">
        <f>G35/(1+$B$25)^A35</f>
        <v>3856502.108463989</v>
      </c>
    </row>
    <row r="36" spans="1:9" x14ac:dyDescent="0.25">
      <c r="A36" s="4">
        <v>5</v>
      </c>
      <c r="B36" s="14">
        <v>0</v>
      </c>
      <c r="C36" s="14">
        <v>29809319.27045109</v>
      </c>
      <c r="D36" s="14">
        <v>0</v>
      </c>
      <c r="E36" s="14">
        <v>0</v>
      </c>
      <c r="F36" s="14">
        <f>$B$28-C36</f>
        <v>7688280.729548909</v>
      </c>
      <c r="G36" s="14">
        <f>F36-E36</f>
        <v>7688280.729548909</v>
      </c>
      <c r="H36" s="14">
        <f>H35+G36</f>
        <v>14216403.647744544</v>
      </c>
      <c r="I36" s="14">
        <f>G36/(1+$B$25)^A36</f>
        <v>4362536.960249835</v>
      </c>
    </row>
    <row r="38" spans="1:2" x14ac:dyDescent="0.25">
      <c r="A38" s="2" t="s">
        <v>578</v>
      </c>
      <c r="B38" s="14">
        <f>B31</f>
        <v>22605000</v>
      </c>
    </row>
    <row r="39" spans="1:2" x14ac:dyDescent="0.25">
      <c r="A39" s="2" t="s">
        <v>586</v>
      </c>
      <c r="B39" s="14">
        <f>B28-B29</f>
        <v>7283280.729548909</v>
      </c>
    </row>
    <row r="40" spans="1:2" x14ac:dyDescent="0.25">
      <c r="A40" s="2" t="s">
        <v>592</v>
      </c>
      <c r="B40" s="15">
        <f>IF(B39&gt;0,B38/B39,"не окупается")</f>
        <v>3.1036837435483617</v>
      </c>
    </row>
    <row r="41" spans="1:2" x14ac:dyDescent="0.25">
      <c r="A41" s="2" t="s">
        <v>593</v>
      </c>
      <c r="B41" s="21">
        <f>IF(B38&gt;0,SUM(G32:G36)/B38*100,"—")</f>
        <v>162.8905270857976</v>
      </c>
    </row>
    <row r="42" spans="1:2" x14ac:dyDescent="0.25">
      <c r="A42" s="2" t="s">
        <v>594</v>
      </c>
      <c r="B42" s="21">
        <f>IF(ISNUMBER(B41),B41-100,"—")</f>
        <v>62.8905270857976</v>
      </c>
    </row>
    <row r="43" spans="1:2" x14ac:dyDescent="0.25">
      <c r="A43" s="2" t="s">
        <v>595</v>
      </c>
      <c r="B43" s="14">
        <f>G31+NPV(B25,G32:G36)</f>
        <v>4079992.1238097674</v>
      </c>
    </row>
    <row r="44" spans="1:2" x14ac:dyDescent="0.25">
      <c r="A44" s="2" t="s">
        <v>596</v>
      </c>
      <c r="B44" s="15">
        <v>4.064766175969289</v>
      </c>
    </row>
    <row r="45" spans="1:2" x14ac:dyDescent="0.25">
      <c r="A45" s="2" t="s">
        <v>589</v>
      </c>
      <c r="B45" s="14">
        <f>B31+SUM(C32:C36)+SUM(E32:E36)</f>
        <v>173271596.35225546</v>
      </c>
    </row>
    <row r="46" spans="1:2" x14ac:dyDescent="0.25">
      <c r="A46" s="2" t="s">
        <v>590</v>
      </c>
      <c r="B46" s="14">
        <f>B27*B28</f>
        <v>187488000</v>
      </c>
    </row>
    <row r="47" spans="1:2" x14ac:dyDescent="0.25">
      <c r="A47" s="2" t="s">
        <v>597</v>
      </c>
      <c r="B47" s="14">
        <f>B45-B46</f>
        <v>-14216403.647744536</v>
      </c>
    </row>
    <row r="49" spans="1:1" x14ac:dyDescent="0.25">
      <c r="A49" s="5" t="s">
        <v>598</v>
      </c>
    </row>
    <row r="50" spans="1:2" x14ac:dyDescent="0.25">
      <c r="A50" s="2" t="s">
        <v>572</v>
      </c>
      <c r="B50" s="19">
        <v>0.12</v>
      </c>
    </row>
    <row r="51" spans="1:2" x14ac:dyDescent="0.25">
      <c r="A51" s="2" t="s">
        <v>573</v>
      </c>
      <c r="B51" s="4">
        <v>5</v>
      </c>
    </row>
    <row r="52" spans="1:2" x14ac:dyDescent="0.25">
      <c r="A52" s="2" t="s">
        <v>574</v>
      </c>
      <c r="B52" s="4">
        <v>5</v>
      </c>
    </row>
    <row r="53" spans="1:2" x14ac:dyDescent="0.25">
      <c r="A53" s="20" t="s">
        <v>575</v>
      </c>
      <c r="B53" s="14">
        <v>37497600</v>
      </c>
    </row>
    <row r="54" spans="1:2" x14ac:dyDescent="0.25">
      <c r="A54" s="2" t="s">
        <v>576</v>
      </c>
      <c r="B54" s="14">
        <v>34723319.27045109</v>
      </c>
    </row>
    <row r="55" spans="1:9" x14ac:dyDescent="0.25">
      <c r="A55" s="6" t="s">
        <v>577</v>
      </c>
      <c r="B55" s="6" t="s">
        <v>578</v>
      </c>
      <c r="C55" s="6" t="s">
        <v>579</v>
      </c>
      <c r="D55" s="6" t="s">
        <v>580</v>
      </c>
      <c r="E55" s="6" t="s">
        <v>581</v>
      </c>
      <c r="F55" s="6" t="s">
        <v>582</v>
      </c>
      <c r="G55" s="6" t="s">
        <v>583</v>
      </c>
      <c r="H55" s="6" t="s">
        <v>584</v>
      </c>
      <c r="I55" s="6" t="s">
        <v>585</v>
      </c>
    </row>
    <row r="56" spans="1:9" x14ac:dyDescent="0.25">
      <c r="A56" s="4">
        <v>0</v>
      </c>
      <c r="B56" s="14">
        <v>1540000</v>
      </c>
      <c r="C56" s="14">
        <v>0</v>
      </c>
      <c r="D56" s="14">
        <v>0</v>
      </c>
      <c r="E56" s="14">
        <v>0</v>
      </c>
      <c r="F56" s="14">
        <v>0</v>
      </c>
      <c r="G56" s="14">
        <f>-B56</f>
        <v>-1540000</v>
      </c>
      <c r="H56" s="14">
        <f>G56</f>
        <v>-1540000</v>
      </c>
      <c r="I56" s="14">
        <f>G56/(1+$B$50)^A56</f>
        <v>-1540000</v>
      </c>
    </row>
    <row r="57" spans="1:9" x14ac:dyDescent="0.25">
      <c r="A57" s="4">
        <v>1</v>
      </c>
      <c r="B57" s="14">
        <v>0</v>
      </c>
      <c r="C57" s="14">
        <v>34723319.27045109</v>
      </c>
      <c r="D57" s="14">
        <v>0</v>
      </c>
      <c r="E57" s="14">
        <v>0</v>
      </c>
      <c r="F57" s="14">
        <f>$B$53-C57</f>
        <v>2774280.729548909</v>
      </c>
      <c r="G57" s="14">
        <f>F57-E57</f>
        <v>2774280.729548909</v>
      </c>
      <c r="H57" s="14">
        <f>H56+G57</f>
        <v>1234280.7295489088</v>
      </c>
      <c r="I57" s="14">
        <f>G57/(1+$B$50)^A57</f>
        <v>2477036.3656686684</v>
      </c>
    </row>
    <row r="58" spans="1:9" x14ac:dyDescent="0.25">
      <c r="A58" s="4">
        <v>2</v>
      </c>
      <c r="B58" s="14">
        <v>0</v>
      </c>
      <c r="C58" s="14">
        <v>34723319.27045109</v>
      </c>
      <c r="D58" s="14">
        <v>0</v>
      </c>
      <c r="E58" s="14">
        <v>0</v>
      </c>
      <c r="F58" s="14">
        <f>$B$53-C58</f>
        <v>2774280.729548909</v>
      </c>
      <c r="G58" s="14">
        <f>F58-E58</f>
        <v>2774280.729548909</v>
      </c>
      <c r="H58" s="14">
        <f>H57+G58</f>
        <v>4008561.4590978175</v>
      </c>
      <c r="I58" s="14">
        <f>G58/(1+$B$50)^A58</f>
        <v>2211639.612204168</v>
      </c>
    </row>
    <row r="59" spans="1:9" x14ac:dyDescent="0.25">
      <c r="A59" s="4">
        <v>3</v>
      </c>
      <c r="B59" s="14">
        <v>0</v>
      </c>
      <c r="C59" s="14">
        <v>34723319.27045109</v>
      </c>
      <c r="D59" s="14">
        <v>0</v>
      </c>
      <c r="E59" s="14">
        <v>0</v>
      </c>
      <c r="F59" s="14">
        <f>$B$53-C59</f>
        <v>2774280.729548909</v>
      </c>
      <c r="G59" s="14">
        <f>F59-E59</f>
        <v>2774280.729548909</v>
      </c>
      <c r="H59" s="14">
        <f>H58+G59</f>
        <v>6782842.188646726</v>
      </c>
      <c r="I59" s="14">
        <f>G59/(1+$B$50)^A59</f>
        <v>1974678.2251822925</v>
      </c>
    </row>
    <row r="60" spans="1:9" x14ac:dyDescent="0.25">
      <c r="A60" s="4">
        <v>4</v>
      </c>
      <c r="B60" s="14">
        <v>0</v>
      </c>
      <c r="C60" s="14">
        <v>34723319.27045109</v>
      </c>
      <c r="D60" s="14">
        <v>0</v>
      </c>
      <c r="E60" s="14">
        <v>0</v>
      </c>
      <c r="F60" s="14">
        <f>$B$53-C60</f>
        <v>2774280.729548909</v>
      </c>
      <c r="G60" s="14">
        <f>F60-E60</f>
        <v>2774280.729548909</v>
      </c>
      <c r="H60" s="14">
        <f>H59+G60</f>
        <v>9557122.918195635</v>
      </c>
      <c r="I60" s="14">
        <f>G60/(1+$B$50)^A60</f>
        <v>1763105.5581984753</v>
      </c>
    </row>
    <row r="61" spans="1:9" x14ac:dyDescent="0.25">
      <c r="A61" s="4">
        <v>5</v>
      </c>
      <c r="B61" s="14">
        <v>0</v>
      </c>
      <c r="C61" s="14">
        <v>34723319.27045109</v>
      </c>
      <c r="D61" s="14">
        <v>0</v>
      </c>
      <c r="E61" s="14">
        <v>0</v>
      </c>
      <c r="F61" s="14">
        <f>$B$53-C61</f>
        <v>2774280.729548909</v>
      </c>
      <c r="G61" s="14">
        <f>F61-E61</f>
        <v>2774280.729548909</v>
      </c>
      <c r="H61" s="14">
        <f>H60+G61</f>
        <v>12331403.647744544</v>
      </c>
      <c r="I61" s="14">
        <f>G61/(1+$B$50)^A61</f>
        <v>1574201.3912486387</v>
      </c>
    </row>
    <row r="63" spans="1:2" x14ac:dyDescent="0.25">
      <c r="A63" s="2" t="s">
        <v>578</v>
      </c>
      <c r="B63" s="14">
        <f>B56</f>
        <v>1540000</v>
      </c>
    </row>
    <row r="64" spans="1:2" x14ac:dyDescent="0.25">
      <c r="A64" s="2" t="s">
        <v>586</v>
      </c>
      <c r="B64" s="14">
        <f>B53-B54</f>
        <v>2774280.729548909</v>
      </c>
    </row>
    <row r="65" spans="1:2" x14ac:dyDescent="0.25">
      <c r="A65" s="2" t="s">
        <v>592</v>
      </c>
      <c r="B65" s="15">
        <f>IF(B64&gt;0,B63/B64,"не окупается")</f>
        <v>0.5550988346627777</v>
      </c>
    </row>
    <row r="66" spans="1:2" x14ac:dyDescent="0.25">
      <c r="A66" s="2" t="s">
        <v>593</v>
      </c>
      <c r="B66" s="21">
        <f>IF(B63&gt;0,SUM(G57:G61)/B63*100,"—")</f>
        <v>900.7404966067886</v>
      </c>
    </row>
    <row r="67" spans="1:2" x14ac:dyDescent="0.25">
      <c r="A67" s="2" t="s">
        <v>594</v>
      </c>
      <c r="B67" s="21">
        <f>IF(ISNUMBER(B66),B66-100,"—")</f>
        <v>800.7404966067886</v>
      </c>
    </row>
    <row r="68" spans="1:2" x14ac:dyDescent="0.25">
      <c r="A68" s="2" t="s">
        <v>595</v>
      </c>
      <c r="B68" s="14">
        <f>G56+NPV(B50,G57:G61)</f>
        <v>8460661.152502242</v>
      </c>
    </row>
    <row r="69" spans="1:2" x14ac:dyDescent="0.25">
      <c r="A69" s="2" t="s">
        <v>596</v>
      </c>
      <c r="B69" s="15">
        <v>0.621710694822311</v>
      </c>
    </row>
    <row r="70" spans="1:2" x14ac:dyDescent="0.25">
      <c r="A70" s="2" t="s">
        <v>492</v>
      </c>
      <c r="B70" s="3" t="s">
        <v>101</v>
      </c>
    </row>
    <row r="71" spans="1:2" x14ac:dyDescent="0.25">
      <c r="A71" s="2" t="s">
        <v>589</v>
      </c>
      <c r="B71" s="14">
        <f>B56+SUM(C57:C61)+SUM(E57:E61)</f>
        <v>175156596.35225546</v>
      </c>
    </row>
    <row r="72" spans="1:2" x14ac:dyDescent="0.25">
      <c r="A72" s="2" t="s">
        <v>590</v>
      </c>
      <c r="B72" s="14">
        <f>B52*B53</f>
        <v>187488000</v>
      </c>
    </row>
    <row r="73" spans="1:2" x14ac:dyDescent="0.25">
      <c r="A73" s="2" t="s">
        <v>597</v>
      </c>
      <c r="B73" s="14">
        <f>B71-B72</f>
        <v>-12331403.647744536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40" customWidth="1"/>
    <col min="3" max="6" width="14" customWidth="1"/>
    <col min="7" max="7" width="16" customWidth="1"/>
    <col min="8" max="10" width="18" customWidth="1"/>
    <col min="11" max="12" width="14" customWidth="1"/>
    <col min="13" max="14" width="18" customWidth="1"/>
    <col min="15" max="15" width="14" customWidth="1"/>
  </cols>
  <sheetData>
    <row r="1" spans="1:15" x14ac:dyDescent="0.25">
      <c r="A1" s="6" t="s">
        <v>58</v>
      </c>
      <c r="B1" s="6" t="s">
        <v>104</v>
      </c>
      <c r="C1" s="6" t="s">
        <v>106</v>
      </c>
      <c r="D1" s="6" t="s">
        <v>599</v>
      </c>
      <c r="E1" s="6" t="s">
        <v>600</v>
      </c>
      <c r="F1" s="6" t="s">
        <v>601</v>
      </c>
      <c r="G1" s="6" t="s">
        <v>602</v>
      </c>
      <c r="H1" s="6" t="s">
        <v>603</v>
      </c>
      <c r="I1" s="6" t="s">
        <v>604</v>
      </c>
      <c r="J1" s="6" t="s">
        <v>605</v>
      </c>
      <c r="K1" s="6" t="s">
        <v>606</v>
      </c>
      <c r="L1" s="6" t="s">
        <v>607</v>
      </c>
      <c r="M1" s="6" t="s">
        <v>608</v>
      </c>
      <c r="N1" s="6" t="s">
        <v>609</v>
      </c>
      <c r="O1" s="6" t="s">
        <v>610</v>
      </c>
    </row>
    <row r="2" spans="1:15" x14ac:dyDescent="0.25">
      <c r="A2" s="4" t="s">
        <v>26</v>
      </c>
      <c r="B2" s="4" t="s">
        <v>611</v>
      </c>
      <c r="C2" s="4" t="s">
        <v>184</v>
      </c>
      <c r="D2" s="4">
        <v>20</v>
      </c>
      <c r="E2" s="4">
        <v>5</v>
      </c>
      <c r="F2" s="4">
        <v>80</v>
      </c>
      <c r="G2" s="4" t="s">
        <v>612</v>
      </c>
      <c r="H2" s="14" t="s">
        <v>36</v>
      </c>
      <c r="I2" s="14" t="s">
        <v>36</v>
      </c>
      <c r="J2" s="14">
        <v>703080000</v>
      </c>
      <c r="K2" s="15" t="s">
        <v>36</v>
      </c>
      <c r="L2" s="15" t="s">
        <v>36</v>
      </c>
      <c r="M2" s="14">
        <v>46872000</v>
      </c>
      <c r="N2" s="14">
        <v>749952000</v>
      </c>
      <c r="O2" s="4" t="s">
        <v>36</v>
      </c>
    </row>
    <row r="3" spans="1:15" x14ac:dyDescent="0.25">
      <c r="A3" s="4" t="s">
        <v>26</v>
      </c>
      <c r="B3" s="4" t="s">
        <v>613</v>
      </c>
      <c r="C3" s="4" t="s">
        <v>261</v>
      </c>
      <c r="D3" s="4">
        <v>5</v>
      </c>
      <c r="E3" s="4">
        <v>3</v>
      </c>
      <c r="F3" s="4">
        <v>10</v>
      </c>
      <c r="G3" s="4" t="s">
        <v>612</v>
      </c>
      <c r="H3" s="14" t="s">
        <v>36</v>
      </c>
      <c r="I3" s="14" t="s">
        <v>36</v>
      </c>
      <c r="J3" s="14">
        <v>187488000</v>
      </c>
      <c r="K3" s="15" t="s">
        <v>36</v>
      </c>
      <c r="L3" s="15" t="s">
        <v>36</v>
      </c>
      <c r="M3" s="14">
        <v>187488000</v>
      </c>
      <c r="N3" s="14">
        <v>374976000</v>
      </c>
      <c r="O3" s="4" t="s">
        <v>36</v>
      </c>
    </row>
    <row r="4" spans="1:15" x14ac:dyDescent="0.25">
      <c r="A4" s="4" t="s">
        <v>26</v>
      </c>
      <c r="B4" s="4" t="s">
        <v>614</v>
      </c>
      <c r="C4" s="4" t="s">
        <v>615</v>
      </c>
      <c r="D4" s="4">
        <v>120000</v>
      </c>
      <c r="E4" s="4">
        <v>80000</v>
      </c>
      <c r="F4" s="4">
        <v>170000</v>
      </c>
      <c r="G4" s="4" t="s">
        <v>612</v>
      </c>
      <c r="H4" s="14" t="s">
        <v>36</v>
      </c>
      <c r="I4" s="14" t="s">
        <v>36</v>
      </c>
      <c r="J4" s="14">
        <v>140616000</v>
      </c>
      <c r="K4" s="15" t="s">
        <v>36</v>
      </c>
      <c r="L4" s="15" t="s">
        <v>36</v>
      </c>
      <c r="M4" s="14">
        <v>124992000</v>
      </c>
      <c r="N4" s="14">
        <v>265608000</v>
      </c>
      <c r="O4" s="4" t="s">
        <v>36</v>
      </c>
    </row>
    <row r="5" spans="1:15" x14ac:dyDescent="0.25">
      <c r="A5" s="4" t="s">
        <v>27</v>
      </c>
      <c r="B5" s="4" t="s">
        <v>616</v>
      </c>
      <c r="C5" s="4" t="s">
        <v>617</v>
      </c>
      <c r="D5" s="4">
        <v>0.5</v>
      </c>
      <c r="E5" s="4">
        <v>0.3</v>
      </c>
      <c r="F5" s="4">
        <v>0.7</v>
      </c>
      <c r="G5" s="4" t="s">
        <v>618</v>
      </c>
      <c r="H5" s="14">
        <v>-21602394.53995012</v>
      </c>
      <c r="I5" s="14">
        <v>29762378.787569653</v>
      </c>
      <c r="J5" s="14">
        <v>51364773.327519774</v>
      </c>
      <c r="K5" s="15">
        <v>142.40560495505935</v>
      </c>
      <c r="L5" s="15">
        <v>1.5689391302518805</v>
      </c>
      <c r="M5" s="14">
        <v>208894316.35225546</v>
      </c>
      <c r="N5" s="14">
        <v>137648876.35225546</v>
      </c>
      <c r="O5" s="22" t="s">
        <v>619</v>
      </c>
    </row>
    <row r="6" spans="1:15" x14ac:dyDescent="0.25">
      <c r="A6" s="4" t="s">
        <v>27</v>
      </c>
      <c r="B6" s="4" t="s">
        <v>614</v>
      </c>
      <c r="C6" s="4" t="s">
        <v>615</v>
      </c>
      <c r="D6" s="4">
        <v>120000</v>
      </c>
      <c r="E6" s="4">
        <v>80000</v>
      </c>
      <c r="F6" s="4">
        <v>170000</v>
      </c>
      <c r="G6" s="4" t="s">
        <v>612</v>
      </c>
      <c r="H6" s="14">
        <v>-8153059.7573842285</v>
      </c>
      <c r="I6" s="14">
        <v>19371306.975302283</v>
      </c>
      <c r="J6" s="14">
        <v>27524366.732686512</v>
      </c>
      <c r="K6" s="15">
        <v>5.811482620462192</v>
      </c>
      <c r="L6" s="15">
        <v>1.9613473944060016</v>
      </c>
      <c r="M6" s="14">
        <v>127743434.56817031</v>
      </c>
      <c r="N6" s="14">
        <v>230181798.58236188</v>
      </c>
      <c r="O6" s="22" t="s">
        <v>619</v>
      </c>
    </row>
    <row r="7" spans="1:15" x14ac:dyDescent="0.25">
      <c r="A7" s="4" t="s">
        <v>27</v>
      </c>
      <c r="B7" s="4" t="s">
        <v>620</v>
      </c>
      <c r="C7" s="4" t="s">
        <v>621</v>
      </c>
      <c r="D7" s="4">
        <v>1.2</v>
      </c>
      <c r="E7" s="4">
        <v>1.2</v>
      </c>
      <c r="F7" s="4">
        <v>2.5</v>
      </c>
      <c r="G7" s="4" t="s">
        <v>612</v>
      </c>
      <c r="H7" s="14">
        <v>4079992.1238097674</v>
      </c>
      <c r="I7" s="14">
        <v>-22617984.49151227</v>
      </c>
      <c r="J7" s="14">
        <v>26697976.615322035</v>
      </c>
      <c r="K7" s="15">
        <v>3.1036837435483617</v>
      </c>
      <c r="L7" s="15" t="s">
        <v>622</v>
      </c>
      <c r="M7" s="14">
        <v>173271596.35225546</v>
      </c>
      <c r="N7" s="14">
        <v>210302989.03337985</v>
      </c>
      <c r="O7" s="22" t="s">
        <v>619</v>
      </c>
    </row>
    <row r="8" spans="1:15" x14ac:dyDescent="0.25">
      <c r="A8" s="4" t="s">
        <v>27</v>
      </c>
      <c r="B8" s="4" t="s">
        <v>613</v>
      </c>
      <c r="C8" s="4" t="s">
        <v>261</v>
      </c>
      <c r="D8" s="4">
        <v>5</v>
      </c>
      <c r="E8" s="4">
        <v>3</v>
      </c>
      <c r="F8" s="4">
        <v>10</v>
      </c>
      <c r="G8" s="4" t="s">
        <v>612</v>
      </c>
      <c r="H8" s="14">
        <v>-4139046.9449040564</v>
      </c>
      <c r="I8" s="14">
        <v>12477904.251511212</v>
      </c>
      <c r="J8" s="14">
        <v>16616951.196415268</v>
      </c>
      <c r="K8" s="15">
        <v>3.1036837435483617</v>
      </c>
      <c r="L8" s="15">
        <v>3.1036837435483617</v>
      </c>
      <c r="M8" s="14">
        <v>173271596.35225546</v>
      </c>
      <c r="N8" s="14">
        <v>338518192.70451087</v>
      </c>
      <c r="O8" s="22" t="s">
        <v>619</v>
      </c>
    </row>
    <row r="9" spans="1:15" x14ac:dyDescent="0.25">
      <c r="A9" s="4" t="s">
        <v>27</v>
      </c>
      <c r="B9" s="4" t="s">
        <v>623</v>
      </c>
      <c r="C9" s="4" t="s">
        <v>624</v>
      </c>
      <c r="D9" s="4">
        <v>2700000</v>
      </c>
      <c r="E9" s="4">
        <v>2160000</v>
      </c>
      <c r="F9" s="4">
        <v>3240000</v>
      </c>
      <c r="G9" s="4" t="s">
        <v>625</v>
      </c>
      <c r="H9" s="14">
        <v>8200284.228080867</v>
      </c>
      <c r="I9" s="14">
        <v>-40299.98046133295</v>
      </c>
      <c r="J9" s="14">
        <v>8240584.2085422</v>
      </c>
      <c r="K9" s="15">
        <v>2.5519063427442696</v>
      </c>
      <c r="L9" s="15">
        <v>3.683139009408755</v>
      </c>
      <c r="M9" s="14">
        <v>168897596.35225546</v>
      </c>
      <c r="N9" s="14">
        <v>177645596.35225546</v>
      </c>
      <c r="O9" s="22" t="s">
        <v>619</v>
      </c>
    </row>
    <row r="10" spans="1:15" x14ac:dyDescent="0.25">
      <c r="A10" s="4" t="s">
        <v>27</v>
      </c>
      <c r="B10" s="4" t="s">
        <v>572</v>
      </c>
      <c r="C10" s="4" t="s">
        <v>626</v>
      </c>
      <c r="D10" s="4">
        <v>0.12</v>
      </c>
      <c r="E10" s="4">
        <v>0.08</v>
      </c>
      <c r="F10" s="4">
        <v>0.2</v>
      </c>
      <c r="G10" s="4" t="s">
        <v>618</v>
      </c>
      <c r="H10" s="14">
        <v>6901327.275213695</v>
      </c>
      <c r="I10" s="14">
        <v>-393584.3151157545</v>
      </c>
      <c r="J10" s="14">
        <v>7294911.59032945</v>
      </c>
      <c r="K10" s="15">
        <v>3.1036837435483617</v>
      </c>
      <c r="L10" s="15">
        <v>3.1036837435483617</v>
      </c>
      <c r="M10" s="14">
        <v>173271596.35225546</v>
      </c>
      <c r="N10" s="14">
        <v>173271596.35225546</v>
      </c>
      <c r="O10" s="22" t="s">
        <v>619</v>
      </c>
    </row>
    <row r="11" spans="1:15" x14ac:dyDescent="0.25">
      <c r="A11" s="4" t="s">
        <v>27</v>
      </c>
      <c r="B11" s="4" t="s">
        <v>627</v>
      </c>
      <c r="C11" s="4" t="s">
        <v>628</v>
      </c>
      <c r="D11" s="4">
        <v>300000</v>
      </c>
      <c r="E11" s="4">
        <v>240000</v>
      </c>
      <c r="F11" s="4">
        <v>360000</v>
      </c>
      <c r="G11" s="4" t="s">
        <v>625</v>
      </c>
      <c r="H11" s="14">
        <v>5377711.556653969</v>
      </c>
      <c r="I11" s="14">
        <v>2782272.690965566</v>
      </c>
      <c r="J11" s="14">
        <v>2595438.865688403</v>
      </c>
      <c r="K11" s="15">
        <v>2.9574996392071684</v>
      </c>
      <c r="L11" s="15">
        <v>3.2650705471931434</v>
      </c>
      <c r="M11" s="14">
        <v>171471596.35225546</v>
      </c>
      <c r="N11" s="14">
        <v>175071596.35225546</v>
      </c>
      <c r="O11" s="4" t="s">
        <v>51</v>
      </c>
    </row>
    <row r="12" spans="1:15" x14ac:dyDescent="0.25">
      <c r="A12" s="4" t="s">
        <v>27</v>
      </c>
      <c r="B12" s="4" t="s">
        <v>629</v>
      </c>
      <c r="C12" s="4" t="s">
        <v>493</v>
      </c>
      <c r="D12" s="4">
        <v>13.562394827775483</v>
      </c>
      <c r="E12" s="4">
        <v>10.849915862220387</v>
      </c>
      <c r="F12" s="4">
        <v>16.274873793330578</v>
      </c>
      <c r="G12" s="4" t="s">
        <v>625</v>
      </c>
      <c r="H12" s="14">
        <v>2387342.204539497</v>
      </c>
      <c r="I12" s="14">
        <v>4079992.1238097674</v>
      </c>
      <c r="J12" s="14">
        <v>1692649.9192702705</v>
      </c>
      <c r="K12" s="15">
        <v>3.3175694754179403</v>
      </c>
      <c r="L12" s="15">
        <v>3.1036837435483617</v>
      </c>
      <c r="M12" s="14">
        <v>175619384.15412948</v>
      </c>
      <c r="N12" s="14">
        <v>173271596.35225546</v>
      </c>
      <c r="O12" s="4" t="s">
        <v>51</v>
      </c>
    </row>
    <row r="13" spans="1:15" x14ac:dyDescent="0.25">
      <c r="A13" s="4" t="s">
        <v>27</v>
      </c>
      <c r="B13" s="4" t="s">
        <v>630</v>
      </c>
      <c r="C13" s="4" t="s">
        <v>617</v>
      </c>
      <c r="D13" s="4">
        <v>0.775</v>
      </c>
      <c r="E13" s="4">
        <v>0.7</v>
      </c>
      <c r="F13" s="4">
        <v>0.85</v>
      </c>
      <c r="G13" s="4" t="s">
        <v>618</v>
      </c>
      <c r="H13" s="14">
        <v>4126885.2155155977</v>
      </c>
      <c r="I13" s="14">
        <v>4033099.03210395</v>
      </c>
      <c r="J13" s="14">
        <v>93786.18341164757</v>
      </c>
      <c r="K13" s="15">
        <v>3.0981501663390785</v>
      </c>
      <c r="L13" s="15">
        <v>3.1092371230679836</v>
      </c>
      <c r="M13" s="14">
        <v>173206553.35225546</v>
      </c>
      <c r="N13" s="14">
        <v>173336639.35225546</v>
      </c>
      <c r="O13" s="4" t="s">
        <v>51</v>
      </c>
    </row>
    <row r="14" spans="1:15" x14ac:dyDescent="0.25">
      <c r="A14" s="4" t="s">
        <v>27</v>
      </c>
      <c r="B14" s="4" t="s">
        <v>631</v>
      </c>
      <c r="C14" s="4" t="s">
        <v>265</v>
      </c>
      <c r="D14" s="4">
        <v>950</v>
      </c>
      <c r="E14" s="4">
        <v>760</v>
      </c>
      <c r="F14" s="4">
        <v>1140</v>
      </c>
      <c r="G14" s="4" t="s">
        <v>625</v>
      </c>
      <c r="H14" s="14">
        <v>4079992.1238097674</v>
      </c>
      <c r="I14" s="14">
        <v>4079992.1238097674</v>
      </c>
      <c r="J14" s="14">
        <v>0</v>
      </c>
      <c r="K14" s="15">
        <v>3.1036837435483617</v>
      </c>
      <c r="L14" s="15">
        <v>3.1036837435483617</v>
      </c>
      <c r="M14" s="14">
        <v>173271596.35225546</v>
      </c>
      <c r="N14" s="14">
        <v>173271596.35225546</v>
      </c>
      <c r="O14" s="4" t="s">
        <v>51</v>
      </c>
    </row>
    <row r="15" spans="1:15" x14ac:dyDescent="0.25">
      <c r="A15" s="4" t="s">
        <v>28</v>
      </c>
      <c r="B15" s="4" t="s">
        <v>616</v>
      </c>
      <c r="C15" s="4" t="s">
        <v>617</v>
      </c>
      <c r="D15" s="4">
        <v>0.5</v>
      </c>
      <c r="E15" s="4">
        <v>0.3</v>
      </c>
      <c r="F15" s="4">
        <v>0.7</v>
      </c>
      <c r="G15" s="4" t="s">
        <v>618</v>
      </c>
      <c r="H15" s="14">
        <v>-17221725.51125764</v>
      </c>
      <c r="I15" s="14">
        <v>34143047.816262126</v>
      </c>
      <c r="J15" s="14">
        <v>51364773.32751977</v>
      </c>
      <c r="K15" s="15" t="s">
        <v>622</v>
      </c>
      <c r="L15" s="15">
        <v>0.15557402439937718</v>
      </c>
      <c r="M15" s="14">
        <v>210779316.35225546</v>
      </c>
      <c r="N15" s="14">
        <v>139533876.35225546</v>
      </c>
      <c r="O15" s="22" t="s">
        <v>619</v>
      </c>
    </row>
    <row r="16" spans="1:15" x14ac:dyDescent="0.25">
      <c r="A16" s="4" t="s">
        <v>28</v>
      </c>
      <c r="B16" s="4" t="s">
        <v>614</v>
      </c>
      <c r="C16" s="4" t="s">
        <v>615</v>
      </c>
      <c r="D16" s="4">
        <v>120000</v>
      </c>
      <c r="E16" s="4">
        <v>80000</v>
      </c>
      <c r="F16" s="4">
        <v>170000</v>
      </c>
      <c r="G16" s="4" t="s">
        <v>612</v>
      </c>
      <c r="H16" s="14">
        <v>-3772390.728691752</v>
      </c>
      <c r="I16" s="14">
        <v>23751976.003994755</v>
      </c>
      <c r="J16" s="14">
        <v>27524366.73268651</v>
      </c>
      <c r="K16" s="15" t="s">
        <v>622</v>
      </c>
      <c r="L16" s="15">
        <v>0.21949077251751678</v>
      </c>
      <c r="M16" s="14">
        <v>129628434.56817031</v>
      </c>
      <c r="N16" s="14">
        <v>232066798.58236188</v>
      </c>
      <c r="O16" s="22" t="s">
        <v>619</v>
      </c>
    </row>
    <row r="17" spans="1:15" x14ac:dyDescent="0.25">
      <c r="A17" s="4" t="s">
        <v>28</v>
      </c>
      <c r="B17" s="4" t="s">
        <v>620</v>
      </c>
      <c r="C17" s="4" t="s">
        <v>621</v>
      </c>
      <c r="D17" s="4">
        <v>1.2</v>
      </c>
      <c r="E17" s="4">
        <v>1.2</v>
      </c>
      <c r="F17" s="4">
        <v>2.5</v>
      </c>
      <c r="G17" s="4" t="s">
        <v>612</v>
      </c>
      <c r="H17" s="14">
        <v>8460661.152502242</v>
      </c>
      <c r="I17" s="14">
        <v>-18237315.462819796</v>
      </c>
      <c r="J17" s="14">
        <v>26697976.61532204</v>
      </c>
      <c r="K17" s="15">
        <v>0.5550988346627777</v>
      </c>
      <c r="L17" s="15" t="s">
        <v>622</v>
      </c>
      <c r="M17" s="14">
        <v>175156596.35225546</v>
      </c>
      <c r="N17" s="14">
        <v>212187989.03337985</v>
      </c>
      <c r="O17" s="22" t="s">
        <v>619</v>
      </c>
    </row>
    <row r="18" spans="1:15" x14ac:dyDescent="0.25">
      <c r="A18" s="4" t="s">
        <v>28</v>
      </c>
      <c r="B18" s="4" t="s">
        <v>632</v>
      </c>
      <c r="C18" s="4" t="s">
        <v>615</v>
      </c>
      <c r="D18" s="4">
        <v>100000</v>
      </c>
      <c r="E18" s="4">
        <v>80000</v>
      </c>
      <c r="F18" s="4">
        <v>120000</v>
      </c>
      <c r="G18" s="4" t="s">
        <v>625</v>
      </c>
      <c r="H18" s="14">
        <v>13651538.883879049</v>
      </c>
      <c r="I18" s="14">
        <v>3269783.421125437</v>
      </c>
      <c r="J18" s="14">
        <v>10381755.462753613</v>
      </c>
      <c r="K18" s="15">
        <v>0.36542416104416464</v>
      </c>
      <c r="L18" s="15">
        <v>1.154179900747454</v>
      </c>
      <c r="M18" s="14">
        <v>167956596.35225546</v>
      </c>
      <c r="N18" s="14">
        <v>182356596.35225546</v>
      </c>
      <c r="O18" s="4" t="s">
        <v>51</v>
      </c>
    </row>
    <row r="19" spans="1:15" x14ac:dyDescent="0.25">
      <c r="A19" s="4" t="s">
        <v>28</v>
      </c>
      <c r="B19" s="4" t="s">
        <v>613</v>
      </c>
      <c r="C19" s="4" t="s">
        <v>261</v>
      </c>
      <c r="D19" s="4">
        <v>5</v>
      </c>
      <c r="E19" s="4">
        <v>3</v>
      </c>
      <c r="F19" s="4">
        <v>10</v>
      </c>
      <c r="G19" s="4" t="s">
        <v>612</v>
      </c>
      <c r="H19" s="14">
        <v>5123354.203055128</v>
      </c>
      <c r="I19" s="14">
        <v>14135304.86537373</v>
      </c>
      <c r="J19" s="14">
        <v>9011950.662318602</v>
      </c>
      <c r="K19" s="15">
        <v>0.5550988346627777</v>
      </c>
      <c r="L19" s="15">
        <v>0.5550988346627777</v>
      </c>
      <c r="M19" s="14">
        <v>175156596.35225546</v>
      </c>
      <c r="N19" s="14">
        <v>348773192.70451087</v>
      </c>
      <c r="O19" s="4" t="s">
        <v>51</v>
      </c>
    </row>
    <row r="20" spans="1:15" x14ac:dyDescent="0.25">
      <c r="A20" s="4" t="s">
        <v>28</v>
      </c>
      <c r="B20" s="4" t="s">
        <v>572</v>
      </c>
      <c r="C20" s="4" t="s">
        <v>626</v>
      </c>
      <c r="D20" s="4">
        <v>0.12</v>
      </c>
      <c r="E20" s="4">
        <v>0.08</v>
      </c>
      <c r="F20" s="4">
        <v>0.2</v>
      </c>
      <c r="G20" s="4" t="s">
        <v>618</v>
      </c>
      <c r="H20" s="14">
        <v>9536898.514542239</v>
      </c>
      <c r="I20" s="14">
        <v>6756797.629328688</v>
      </c>
      <c r="J20" s="14">
        <v>2780100.885213551</v>
      </c>
      <c r="K20" s="15">
        <v>0.5550988346627777</v>
      </c>
      <c r="L20" s="15">
        <v>0.5550988346627777</v>
      </c>
      <c r="M20" s="14">
        <v>175156596.35225546</v>
      </c>
      <c r="N20" s="14">
        <v>175156596.35225546</v>
      </c>
      <c r="O20" s="4" t="s">
        <v>51</v>
      </c>
    </row>
    <row r="21" spans="1:15" x14ac:dyDescent="0.25">
      <c r="A21" s="4" t="s">
        <v>28</v>
      </c>
      <c r="B21" s="4" t="s">
        <v>629</v>
      </c>
      <c r="C21" s="4" t="s">
        <v>493</v>
      </c>
      <c r="D21" s="4">
        <v>13.562394827775483</v>
      </c>
      <c r="E21" s="4">
        <v>10.849915862220387</v>
      </c>
      <c r="F21" s="4">
        <v>16.274873793330578</v>
      </c>
      <c r="G21" s="4" t="s">
        <v>625</v>
      </c>
      <c r="H21" s="14">
        <v>6768011.233231973</v>
      </c>
      <c r="I21" s="14">
        <v>8460661.152502242</v>
      </c>
      <c r="J21" s="14">
        <v>1692649.9192702696</v>
      </c>
      <c r="K21" s="15">
        <v>0.6681930483442214</v>
      </c>
      <c r="L21" s="15">
        <v>0.5550988346627777</v>
      </c>
      <c r="M21" s="14">
        <v>177504384.15412948</v>
      </c>
      <c r="N21" s="14">
        <v>175156596.35225546</v>
      </c>
      <c r="O21" s="4" t="s">
        <v>51</v>
      </c>
    </row>
    <row r="22" spans="1:15" x14ac:dyDescent="0.25">
      <c r="A22" s="4" t="s">
        <v>28</v>
      </c>
      <c r="B22" s="4" t="s">
        <v>630</v>
      </c>
      <c r="C22" s="4" t="s">
        <v>617</v>
      </c>
      <c r="D22" s="4">
        <v>0.775</v>
      </c>
      <c r="E22" s="4">
        <v>0.7</v>
      </c>
      <c r="F22" s="4">
        <v>0.85</v>
      </c>
      <c r="G22" s="4" t="s">
        <v>618</v>
      </c>
      <c r="H22" s="14">
        <v>8507554.244208073</v>
      </c>
      <c r="I22" s="14">
        <v>8413768.060796414</v>
      </c>
      <c r="J22" s="14">
        <v>93786.18341165967</v>
      </c>
      <c r="K22" s="15">
        <v>0.5525081245330318</v>
      </c>
      <c r="L22" s="15">
        <v>0.5577139549268477</v>
      </c>
      <c r="M22" s="14">
        <v>175091553.35225546</v>
      </c>
      <c r="N22" s="14">
        <v>175221639.35225546</v>
      </c>
      <c r="O22" s="4" t="s">
        <v>51</v>
      </c>
    </row>
    <row r="23" spans="1:15" x14ac:dyDescent="0.25">
      <c r="A23" s="4" t="s">
        <v>28</v>
      </c>
      <c r="B23" s="4" t="s">
        <v>631</v>
      </c>
      <c r="C23" s="4" t="s">
        <v>265</v>
      </c>
      <c r="D23" s="4">
        <v>950</v>
      </c>
      <c r="E23" s="4">
        <v>760</v>
      </c>
      <c r="F23" s="4">
        <v>1140</v>
      </c>
      <c r="G23" s="4" t="s">
        <v>625</v>
      </c>
      <c r="H23" s="14">
        <v>8460661.152502242</v>
      </c>
      <c r="I23" s="14">
        <v>8460661.152502242</v>
      </c>
      <c r="J23" s="14">
        <v>0</v>
      </c>
      <c r="K23" s="15">
        <v>0.5550988346627777</v>
      </c>
      <c r="L23" s="15">
        <v>0.5550988346627777</v>
      </c>
      <c r="M23" s="14">
        <v>175156596.35225546</v>
      </c>
      <c r="N23" s="14">
        <v>175156596.35225546</v>
      </c>
      <c r="O23" s="4" t="s">
        <v>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3" width="32" customWidth="1"/>
  </cols>
  <sheetData>
    <row r="1" spans="1:3" x14ac:dyDescent="0.25">
      <c r="A1" s="6" t="s">
        <v>25</v>
      </c>
      <c r="B1" s="6" t="s">
        <v>27</v>
      </c>
      <c r="C1" s="6" t="s">
        <v>28</v>
      </c>
    </row>
    <row r="2" spans="1:3" x14ac:dyDescent="0.25">
      <c r="A2" s="4" t="s">
        <v>633</v>
      </c>
      <c r="B2" s="4">
        <v>51.8</v>
      </c>
      <c r="C2" s="4">
        <v>51.8</v>
      </c>
    </row>
    <row r="3" spans="1:3" x14ac:dyDescent="0.25">
      <c r="A3" s="4" t="s">
        <v>634</v>
      </c>
      <c r="B3" s="4">
        <v>51.5</v>
      </c>
      <c r="C3" s="4">
        <v>51.5</v>
      </c>
    </row>
    <row r="4" spans="1:3" x14ac:dyDescent="0.25">
      <c r="A4" s="4" t="s">
        <v>635</v>
      </c>
      <c r="B4" s="4">
        <v>70.8</v>
      </c>
      <c r="C4" s="4">
        <v>70.8</v>
      </c>
    </row>
    <row r="5" spans="1:3" x14ac:dyDescent="0.25">
      <c r="A5" s="4" t="s">
        <v>636</v>
      </c>
      <c r="B5" s="4">
        <v>21.5</v>
      </c>
      <c r="C5" s="4">
        <v>21.5</v>
      </c>
    </row>
    <row r="6" spans="1:3" x14ac:dyDescent="0.25">
      <c r="A6" s="4" t="s">
        <v>637</v>
      </c>
      <c r="B6" s="4">
        <v>5.6</v>
      </c>
      <c r="C6" s="4">
        <v>5.6</v>
      </c>
    </row>
    <row r="7" spans="1:3" x14ac:dyDescent="0.25">
      <c r="A7" s="4" t="s">
        <v>638</v>
      </c>
      <c r="B7" s="4">
        <v>2.1</v>
      </c>
      <c r="C7" s="4">
        <v>2.1</v>
      </c>
    </row>
    <row r="8" spans="1:3" x14ac:dyDescent="0.25">
      <c r="A8" s="4" t="s">
        <v>639</v>
      </c>
      <c r="B8" s="4">
        <v>8</v>
      </c>
      <c r="C8" s="4">
        <v>8</v>
      </c>
    </row>
    <row r="9" spans="1:3" x14ac:dyDescent="0.25">
      <c r="A9" s="4" t="s">
        <v>640</v>
      </c>
      <c r="B9" s="4">
        <v>4.9</v>
      </c>
      <c r="C9" s="4">
        <v>4.9</v>
      </c>
    </row>
    <row r="10" spans="1:3" x14ac:dyDescent="0.25">
      <c r="A10" s="4" t="s">
        <v>641</v>
      </c>
      <c r="B10" s="4" t="s">
        <v>51</v>
      </c>
      <c r="C10" s="4" t="s">
        <v>51</v>
      </c>
    </row>
    <row r="11" spans="1:3" x14ac:dyDescent="0.25">
      <c r="A11" s="4" t="s">
        <v>642</v>
      </c>
      <c r="B11" s="4" t="s">
        <v>643</v>
      </c>
      <c r="C11" s="4" t="s">
        <v>643</v>
      </c>
    </row>
    <row r="12" spans="1:3" x14ac:dyDescent="0.25">
      <c r="A12" s="4" t="s">
        <v>644</v>
      </c>
      <c r="B12" s="4">
        <v>106</v>
      </c>
      <c r="C12" s="4">
        <v>106</v>
      </c>
    </row>
    <row r="13" spans="1:3" x14ac:dyDescent="0.25">
      <c r="A13" s="3" t="s">
        <v>645</v>
      </c>
      <c r="B13" s="4" t="s">
        <v>646</v>
      </c>
      <c r="C13" s="4" t="s">
        <v>646</v>
      </c>
    </row>
    <row r="14" spans="1:3" x14ac:dyDescent="0.25">
      <c r="A14" s="4" t="s">
        <v>647</v>
      </c>
      <c r="B14" s="4">
        <v>6</v>
      </c>
      <c r="C14" s="4">
        <v>6</v>
      </c>
    </row>
    <row r="15" spans="1:3" x14ac:dyDescent="0.25">
      <c r="A15" s="4" t="s">
        <v>648</v>
      </c>
      <c r="B15" s="4">
        <v>77.5</v>
      </c>
      <c r="C15" s="4">
        <v>77.5</v>
      </c>
    </row>
    <row r="16" spans="1:3" x14ac:dyDescent="0.25">
      <c r="A16" s="4" t="s">
        <v>649</v>
      </c>
      <c r="B16" s="4">
        <v>99.1</v>
      </c>
      <c r="C16" s="4">
        <v>99.1</v>
      </c>
    </row>
    <row r="17" spans="1:3" x14ac:dyDescent="0.25">
      <c r="A17" s="4" t="s">
        <v>650</v>
      </c>
      <c r="B17" s="4" t="s">
        <v>651</v>
      </c>
      <c r="C17" s="4" t="s">
        <v>651</v>
      </c>
    </row>
    <row r="18" spans="1:3" x14ac:dyDescent="0.25">
      <c r="A18" s="4" t="s">
        <v>652</v>
      </c>
      <c r="B18" s="4" t="s">
        <v>653</v>
      </c>
      <c r="C18" s="4" t="s">
        <v>653</v>
      </c>
    </row>
    <row r="19" spans="1:3" x14ac:dyDescent="0.25">
      <c r="A19" s="4" t="s">
        <v>654</v>
      </c>
      <c r="B19" s="4" t="s">
        <v>655</v>
      </c>
      <c r="C19" s="4" t="s">
        <v>655</v>
      </c>
    </row>
    <row r="20" spans="1:3" x14ac:dyDescent="0.25">
      <c r="A20" s="4" t="s">
        <v>656</v>
      </c>
      <c r="B20" s="4">
        <v>1</v>
      </c>
      <c r="C20" s="4">
        <v>1</v>
      </c>
    </row>
    <row r="21" spans="1:3" x14ac:dyDescent="0.25">
      <c r="A21" s="4" t="s">
        <v>9</v>
      </c>
      <c r="B21" s="4" t="s">
        <v>657</v>
      </c>
      <c r="C21" s="4" t="s">
        <v>657</v>
      </c>
    </row>
    <row r="24" spans="1:4" x14ac:dyDescent="0.25">
      <c r="A24" s="6" t="s">
        <v>58</v>
      </c>
      <c r="B24" s="6" t="s">
        <v>658</v>
      </c>
      <c r="C24" s="6" t="s">
        <v>105</v>
      </c>
      <c r="D24" s="6" t="s">
        <v>659</v>
      </c>
    </row>
    <row r="25" spans="1:4" x14ac:dyDescent="0.25">
      <c r="A25" s="4" t="s">
        <v>27</v>
      </c>
      <c r="B25" s="4" t="s">
        <v>660</v>
      </c>
      <c r="C25" s="4" t="s">
        <v>661</v>
      </c>
      <c r="D25" s="4" t="s">
        <v>116</v>
      </c>
    </row>
    <row r="26" spans="1:4" x14ac:dyDescent="0.25">
      <c r="A26" s="4" t="s">
        <v>27</v>
      </c>
      <c r="B26" s="4" t="s">
        <v>662</v>
      </c>
      <c r="C26" s="4">
        <v>51.5</v>
      </c>
      <c r="D26" s="4" t="s">
        <v>663</v>
      </c>
    </row>
    <row r="27" spans="1:4" x14ac:dyDescent="0.25">
      <c r="A27" s="4" t="s">
        <v>27</v>
      </c>
      <c r="B27" s="4" t="s">
        <v>664</v>
      </c>
      <c r="C27" s="3" t="s">
        <v>665</v>
      </c>
      <c r="D27" s="4" t="s">
        <v>116</v>
      </c>
    </row>
    <row r="28" spans="1:4" x14ac:dyDescent="0.25">
      <c r="A28" s="4" t="s">
        <v>27</v>
      </c>
      <c r="B28" s="3" t="s">
        <v>666</v>
      </c>
      <c r="C28" s="4">
        <v>29</v>
      </c>
      <c r="D28" s="4" t="s">
        <v>667</v>
      </c>
    </row>
    <row r="29" spans="1:4" x14ac:dyDescent="0.25">
      <c r="A29" s="4" t="s">
        <v>27</v>
      </c>
      <c r="B29" s="3" t="s">
        <v>668</v>
      </c>
      <c r="C29" s="4">
        <v>20</v>
      </c>
      <c r="D29" s="4" t="s">
        <v>667</v>
      </c>
    </row>
    <row r="30" spans="1:4" x14ac:dyDescent="0.25">
      <c r="A30" s="4" t="s">
        <v>27</v>
      </c>
      <c r="B30" s="3" t="s">
        <v>669</v>
      </c>
      <c r="C30" s="3" t="s">
        <v>670</v>
      </c>
      <c r="D30" s="4" t="s">
        <v>116</v>
      </c>
    </row>
    <row r="31" spans="1:4" x14ac:dyDescent="0.25">
      <c r="A31" s="4" t="s">
        <v>27</v>
      </c>
      <c r="B31" s="3" t="s">
        <v>671</v>
      </c>
      <c r="C31" s="3" t="s">
        <v>672</v>
      </c>
      <c r="D31" s="4" t="s">
        <v>116</v>
      </c>
    </row>
    <row r="32" spans="1:4" x14ac:dyDescent="0.25">
      <c r="A32" s="4" t="s">
        <v>27</v>
      </c>
      <c r="B32" s="3" t="s">
        <v>673</v>
      </c>
      <c r="C32" s="3" t="s">
        <v>674</v>
      </c>
      <c r="D32" s="4" t="s">
        <v>116</v>
      </c>
    </row>
    <row r="33" spans="1:4" x14ac:dyDescent="0.25">
      <c r="A33" s="4" t="s">
        <v>27</v>
      </c>
      <c r="B33" s="3" t="s">
        <v>675</v>
      </c>
      <c r="C33" s="3" t="s">
        <v>676</v>
      </c>
      <c r="D33" s="4" t="s">
        <v>116</v>
      </c>
    </row>
    <row r="34" spans="1:4" x14ac:dyDescent="0.25">
      <c r="A34" s="4" t="s">
        <v>27</v>
      </c>
      <c r="B34" s="3" t="s">
        <v>677</v>
      </c>
      <c r="C34" s="3" t="s">
        <v>678</v>
      </c>
      <c r="D34" s="4" t="s">
        <v>116</v>
      </c>
    </row>
    <row r="35" spans="1:4" x14ac:dyDescent="0.25">
      <c r="A35" s="4" t="s">
        <v>27</v>
      </c>
      <c r="B35" s="3" t="s">
        <v>679</v>
      </c>
      <c r="C35" s="3" t="s">
        <v>680</v>
      </c>
      <c r="D35" s="4" t="s">
        <v>116</v>
      </c>
    </row>
    <row r="36" spans="1:4" x14ac:dyDescent="0.25">
      <c r="A36" s="4" t="s">
        <v>27</v>
      </c>
      <c r="B36" s="3" t="s">
        <v>681</v>
      </c>
      <c r="C36" s="3" t="s">
        <v>682</v>
      </c>
      <c r="D36" s="4" t="s">
        <v>116</v>
      </c>
    </row>
    <row r="37" spans="1:4" x14ac:dyDescent="0.25">
      <c r="A37" s="4" t="s">
        <v>27</v>
      </c>
      <c r="B37" s="3" t="s">
        <v>683</v>
      </c>
      <c r="C37" s="3" t="s">
        <v>684</v>
      </c>
      <c r="D37" s="4" t="s">
        <v>116</v>
      </c>
    </row>
    <row r="38" spans="1:4" x14ac:dyDescent="0.25">
      <c r="A38" s="4" t="s">
        <v>27</v>
      </c>
      <c r="B38" s="3" t="s">
        <v>685</v>
      </c>
      <c r="C38" s="3" t="s">
        <v>686</v>
      </c>
      <c r="D38" s="4" t="s">
        <v>116</v>
      </c>
    </row>
    <row r="39" spans="1:4" x14ac:dyDescent="0.25">
      <c r="A39" s="4" t="s">
        <v>27</v>
      </c>
      <c r="B39" s="3" t="s">
        <v>687</v>
      </c>
      <c r="C39" s="3" t="s">
        <v>688</v>
      </c>
      <c r="D39" s="4" t="s">
        <v>116</v>
      </c>
    </row>
    <row r="40" spans="1:4" x14ac:dyDescent="0.25">
      <c r="A40" s="4" t="s">
        <v>27</v>
      </c>
      <c r="B40" s="4" t="s">
        <v>689</v>
      </c>
      <c r="C40" s="4" t="s">
        <v>690</v>
      </c>
      <c r="D40" s="4" t="s">
        <v>116</v>
      </c>
    </row>
    <row r="41" spans="1:4" x14ac:dyDescent="0.25">
      <c r="A41" s="4" t="s">
        <v>27</v>
      </c>
      <c r="B41" s="4" t="s">
        <v>691</v>
      </c>
      <c r="C41" s="3" t="s">
        <v>692</v>
      </c>
      <c r="D41" s="4" t="s">
        <v>116</v>
      </c>
    </row>
    <row r="42" spans="1:4" x14ac:dyDescent="0.25">
      <c r="A42" s="4" t="s">
        <v>27</v>
      </c>
      <c r="B42" s="4" t="s">
        <v>693</v>
      </c>
      <c r="C42" s="4" t="s">
        <v>694</v>
      </c>
      <c r="D42" s="4" t="s">
        <v>116</v>
      </c>
    </row>
    <row r="43" spans="1:4" x14ac:dyDescent="0.25">
      <c r="A43" s="4" t="s">
        <v>27</v>
      </c>
      <c r="B43" s="4" t="s">
        <v>695</v>
      </c>
      <c r="C43" s="4" t="s">
        <v>657</v>
      </c>
      <c r="D43" s="4" t="s">
        <v>116</v>
      </c>
    </row>
    <row r="44" spans="1:4" x14ac:dyDescent="0.25">
      <c r="A44" s="4" t="s">
        <v>27</v>
      </c>
      <c r="B44" s="4" t="s">
        <v>696</v>
      </c>
      <c r="C44" s="4" t="s">
        <v>697</v>
      </c>
      <c r="D44" s="4" t="s">
        <v>116</v>
      </c>
    </row>
    <row r="45" spans="1:4" x14ac:dyDescent="0.25">
      <c r="A45" s="4" t="s">
        <v>27</v>
      </c>
      <c r="B45" s="4" t="s">
        <v>698</v>
      </c>
      <c r="C45" s="4" t="s">
        <v>699</v>
      </c>
      <c r="D45" s="4" t="s">
        <v>116</v>
      </c>
    </row>
    <row r="46" spans="1:4" x14ac:dyDescent="0.25">
      <c r="A46" s="4" t="s">
        <v>27</v>
      </c>
      <c r="B46" s="4" t="s">
        <v>700</v>
      </c>
      <c r="C46" s="4" t="s">
        <v>701</v>
      </c>
      <c r="D46" s="4" t="s">
        <v>116</v>
      </c>
    </row>
    <row r="47" spans="1:4" x14ac:dyDescent="0.25">
      <c r="A47" s="4" t="s">
        <v>27</v>
      </c>
      <c r="B47" s="4" t="s">
        <v>702</v>
      </c>
      <c r="C47" s="3" t="s">
        <v>703</v>
      </c>
      <c r="D47" s="4" t="s">
        <v>116</v>
      </c>
    </row>
    <row r="48" spans="1:4" x14ac:dyDescent="0.25">
      <c r="A48" s="4" t="s">
        <v>27</v>
      </c>
      <c r="B48" s="4" t="s">
        <v>704</v>
      </c>
      <c r="C48" s="3" t="s">
        <v>705</v>
      </c>
      <c r="D48" s="4" t="s">
        <v>116</v>
      </c>
    </row>
    <row r="49" spans="1:4" x14ac:dyDescent="0.25">
      <c r="A49" s="4" t="s">
        <v>27</v>
      </c>
      <c r="B49" s="4" t="s">
        <v>706</v>
      </c>
      <c r="C49" s="4">
        <v>51.81818181818181</v>
      </c>
      <c r="D49" s="4" t="s">
        <v>663</v>
      </c>
    </row>
    <row r="50" spans="1:4" x14ac:dyDescent="0.25">
      <c r="A50" s="4" t="s">
        <v>27</v>
      </c>
      <c r="B50" s="4" t="s">
        <v>707</v>
      </c>
      <c r="C50" s="4">
        <v>57</v>
      </c>
      <c r="D50" s="4" t="s">
        <v>663</v>
      </c>
    </row>
    <row r="51" spans="1:4" x14ac:dyDescent="0.25">
      <c r="A51" s="4" t="s">
        <v>27</v>
      </c>
      <c r="B51" s="3" t="s">
        <v>708</v>
      </c>
      <c r="C51" s="4">
        <v>57</v>
      </c>
      <c r="D51" s="4" t="s">
        <v>663</v>
      </c>
    </row>
    <row r="52" spans="1:4" x14ac:dyDescent="0.25">
      <c r="A52" s="4" t="s">
        <v>27</v>
      </c>
      <c r="B52" s="4" t="s">
        <v>709</v>
      </c>
      <c r="C52" s="4">
        <v>110</v>
      </c>
      <c r="D52" s="4" t="s">
        <v>710</v>
      </c>
    </row>
    <row r="53" spans="1:4" x14ac:dyDescent="0.25">
      <c r="A53" s="4" t="s">
        <v>27</v>
      </c>
      <c r="B53" s="4" t="s">
        <v>711</v>
      </c>
      <c r="C53" s="4">
        <v>109</v>
      </c>
      <c r="D53" s="4" t="s">
        <v>712</v>
      </c>
    </row>
    <row r="54" spans="1:4" x14ac:dyDescent="0.25">
      <c r="A54" s="4" t="s">
        <v>27</v>
      </c>
      <c r="B54" s="4" t="s">
        <v>713</v>
      </c>
      <c r="C54" s="4">
        <v>55</v>
      </c>
      <c r="D54" s="4" t="s">
        <v>663</v>
      </c>
    </row>
    <row r="55" spans="1:4" x14ac:dyDescent="0.25">
      <c r="A55" s="4" t="s">
        <v>27</v>
      </c>
      <c r="B55" s="4" t="s">
        <v>714</v>
      </c>
      <c r="C55" s="4">
        <v>54.5</v>
      </c>
      <c r="D55" s="4" t="s">
        <v>663</v>
      </c>
    </row>
    <row r="56" spans="1:4" x14ac:dyDescent="0.25">
      <c r="A56" s="4" t="s">
        <v>27</v>
      </c>
      <c r="B56" s="4" t="s">
        <v>715</v>
      </c>
      <c r="C56" s="4">
        <v>900</v>
      </c>
      <c r="D56" s="4" t="s">
        <v>667</v>
      </c>
    </row>
    <row r="57" spans="1:4" x14ac:dyDescent="0.25">
      <c r="A57" s="4" t="s">
        <v>27</v>
      </c>
      <c r="B57" s="4" t="s">
        <v>716</v>
      </c>
      <c r="C57" s="4">
        <v>8100</v>
      </c>
      <c r="D57" s="4" t="s">
        <v>667</v>
      </c>
    </row>
    <row r="58" spans="1:4" x14ac:dyDescent="0.25">
      <c r="A58" s="4" t="s">
        <v>27</v>
      </c>
      <c r="B58" s="4" t="s">
        <v>717</v>
      </c>
      <c r="C58" s="4">
        <v>4</v>
      </c>
      <c r="D58" s="4" t="s">
        <v>718</v>
      </c>
    </row>
    <row r="59" spans="1:4" x14ac:dyDescent="0.25">
      <c r="A59" s="4" t="s">
        <v>27</v>
      </c>
      <c r="B59" s="4" t="s">
        <v>719</v>
      </c>
      <c r="C59" s="4">
        <v>3</v>
      </c>
      <c r="D59" s="4" t="s">
        <v>718</v>
      </c>
    </row>
    <row r="60" spans="1:4" x14ac:dyDescent="0.25">
      <c r="A60" s="4" t="s">
        <v>27</v>
      </c>
      <c r="B60" s="4" t="s">
        <v>720</v>
      </c>
      <c r="C60" s="4">
        <v>268</v>
      </c>
      <c r="D60" s="4" t="s">
        <v>667</v>
      </c>
    </row>
    <row r="61" spans="1:4" x14ac:dyDescent="0.25">
      <c r="A61" s="4" t="s">
        <v>27</v>
      </c>
      <c r="B61" s="4" t="s">
        <v>721</v>
      </c>
      <c r="C61" s="4" t="s">
        <v>722</v>
      </c>
      <c r="D61" s="4" t="s">
        <v>116</v>
      </c>
    </row>
    <row r="62" spans="1:4" x14ac:dyDescent="0.25">
      <c r="A62" s="4" t="s">
        <v>27</v>
      </c>
      <c r="B62" s="4" t="s">
        <v>723</v>
      </c>
      <c r="C62" s="3" t="s">
        <v>724</v>
      </c>
      <c r="D62" s="4" t="s">
        <v>116</v>
      </c>
    </row>
    <row r="63" spans="1:4" x14ac:dyDescent="0.25">
      <c r="A63" s="4" t="s">
        <v>27</v>
      </c>
      <c r="B63" s="4" t="s">
        <v>725</v>
      </c>
      <c r="C63" s="3" t="s">
        <v>726</v>
      </c>
      <c r="D63" s="4" t="s">
        <v>116</v>
      </c>
    </row>
    <row r="64" spans="1:4" x14ac:dyDescent="0.25">
      <c r="A64" s="4" t="s">
        <v>27</v>
      </c>
      <c r="B64" s="4" t="s">
        <v>727</v>
      </c>
      <c r="C64" s="3" t="s">
        <v>728</v>
      </c>
      <c r="D64" s="4" t="s">
        <v>116</v>
      </c>
    </row>
    <row r="65" spans="1:4" x14ac:dyDescent="0.25">
      <c r="A65" s="4" t="s">
        <v>27</v>
      </c>
      <c r="B65" s="4" t="s">
        <v>729</v>
      </c>
      <c r="C65" s="3" t="s">
        <v>730</v>
      </c>
      <c r="D65" s="4" t="s">
        <v>116</v>
      </c>
    </row>
    <row r="66" spans="1:4" x14ac:dyDescent="0.25">
      <c r="A66" s="4" t="s">
        <v>27</v>
      </c>
      <c r="B66" s="4" t="s">
        <v>731</v>
      </c>
      <c r="C66" s="3" t="s">
        <v>732</v>
      </c>
      <c r="D66" s="4" t="s">
        <v>116</v>
      </c>
    </row>
    <row r="67" spans="1:4" x14ac:dyDescent="0.25">
      <c r="A67" s="4" t="s">
        <v>27</v>
      </c>
      <c r="B67" s="4" t="s">
        <v>733</v>
      </c>
      <c r="C67" s="3" t="s">
        <v>734</v>
      </c>
      <c r="D67" s="4" t="s">
        <v>116</v>
      </c>
    </row>
    <row r="68" spans="1:4" x14ac:dyDescent="0.25">
      <c r="A68" s="4" t="s">
        <v>27</v>
      </c>
      <c r="B68" s="4" t="s">
        <v>735</v>
      </c>
      <c r="C68" s="3" t="s">
        <v>736</v>
      </c>
      <c r="D68" s="4" t="s">
        <v>116</v>
      </c>
    </row>
    <row r="69" spans="1:4" x14ac:dyDescent="0.25">
      <c r="A69" s="4" t="s">
        <v>27</v>
      </c>
      <c r="B69" s="4" t="s">
        <v>737</v>
      </c>
      <c r="C69" s="3" t="s">
        <v>738</v>
      </c>
      <c r="D69" s="4" t="s">
        <v>116</v>
      </c>
    </row>
    <row r="70" spans="1:4" x14ac:dyDescent="0.25">
      <c r="A70" s="4" t="s">
        <v>28</v>
      </c>
      <c r="B70" s="4" t="s">
        <v>660</v>
      </c>
      <c r="C70" s="4" t="s">
        <v>661</v>
      </c>
      <c r="D70" s="4" t="s">
        <v>116</v>
      </c>
    </row>
    <row r="71" spans="1:4" x14ac:dyDescent="0.25">
      <c r="A71" s="4" t="s">
        <v>28</v>
      </c>
      <c r="B71" s="4" t="s">
        <v>662</v>
      </c>
      <c r="C71" s="4">
        <v>51.5</v>
      </c>
      <c r="D71" s="4" t="s">
        <v>663</v>
      </c>
    </row>
    <row r="72" spans="1:4" x14ac:dyDescent="0.25">
      <c r="A72" s="4" t="s">
        <v>28</v>
      </c>
      <c r="B72" s="4" t="s">
        <v>664</v>
      </c>
      <c r="C72" s="3" t="s">
        <v>665</v>
      </c>
      <c r="D72" s="4" t="s">
        <v>116</v>
      </c>
    </row>
    <row r="73" spans="1:4" x14ac:dyDescent="0.25">
      <c r="A73" s="4" t="s">
        <v>28</v>
      </c>
      <c r="B73" s="3" t="s">
        <v>666</v>
      </c>
      <c r="C73" s="4">
        <v>29</v>
      </c>
      <c r="D73" s="4" t="s">
        <v>667</v>
      </c>
    </row>
    <row r="74" spans="1:4" x14ac:dyDescent="0.25">
      <c r="A74" s="4" t="s">
        <v>28</v>
      </c>
      <c r="B74" s="3" t="s">
        <v>668</v>
      </c>
      <c r="C74" s="4">
        <v>20</v>
      </c>
      <c r="D74" s="4" t="s">
        <v>667</v>
      </c>
    </row>
    <row r="75" spans="1:4" x14ac:dyDescent="0.25">
      <c r="A75" s="4" t="s">
        <v>28</v>
      </c>
      <c r="B75" s="3" t="s">
        <v>669</v>
      </c>
      <c r="C75" s="3" t="s">
        <v>670</v>
      </c>
      <c r="D75" s="4" t="s">
        <v>116</v>
      </c>
    </row>
    <row r="76" spans="1:4" x14ac:dyDescent="0.25">
      <c r="A76" s="4" t="s">
        <v>28</v>
      </c>
      <c r="B76" s="3" t="s">
        <v>671</v>
      </c>
      <c r="C76" s="3" t="s">
        <v>672</v>
      </c>
      <c r="D76" s="4" t="s">
        <v>116</v>
      </c>
    </row>
    <row r="77" spans="1:4" x14ac:dyDescent="0.25">
      <c r="A77" s="4" t="s">
        <v>28</v>
      </c>
      <c r="B77" s="3" t="s">
        <v>673</v>
      </c>
      <c r="C77" s="3" t="s">
        <v>674</v>
      </c>
      <c r="D77" s="4" t="s">
        <v>116</v>
      </c>
    </row>
    <row r="78" spans="1:4" x14ac:dyDescent="0.25">
      <c r="A78" s="4" t="s">
        <v>28</v>
      </c>
      <c r="B78" s="3" t="s">
        <v>675</v>
      </c>
      <c r="C78" s="3" t="s">
        <v>676</v>
      </c>
      <c r="D78" s="4" t="s">
        <v>116</v>
      </c>
    </row>
    <row r="79" spans="1:4" x14ac:dyDescent="0.25">
      <c r="A79" s="4" t="s">
        <v>28</v>
      </c>
      <c r="B79" s="3" t="s">
        <v>677</v>
      </c>
      <c r="C79" s="3" t="s">
        <v>678</v>
      </c>
      <c r="D79" s="4" t="s">
        <v>116</v>
      </c>
    </row>
    <row r="80" spans="1:4" x14ac:dyDescent="0.25">
      <c r="A80" s="4" t="s">
        <v>28</v>
      </c>
      <c r="B80" s="3" t="s">
        <v>679</v>
      </c>
      <c r="C80" s="3" t="s">
        <v>680</v>
      </c>
      <c r="D80" s="4" t="s">
        <v>116</v>
      </c>
    </row>
    <row r="81" spans="1:4" x14ac:dyDescent="0.25">
      <c r="A81" s="4" t="s">
        <v>28</v>
      </c>
      <c r="B81" s="3" t="s">
        <v>681</v>
      </c>
      <c r="C81" s="3" t="s">
        <v>682</v>
      </c>
      <c r="D81" s="4" t="s">
        <v>116</v>
      </c>
    </row>
    <row r="82" spans="1:4" x14ac:dyDescent="0.25">
      <c r="A82" s="4" t="s">
        <v>28</v>
      </c>
      <c r="B82" s="3" t="s">
        <v>683</v>
      </c>
      <c r="C82" s="3" t="s">
        <v>684</v>
      </c>
      <c r="D82" s="4" t="s">
        <v>116</v>
      </c>
    </row>
    <row r="83" spans="1:4" x14ac:dyDescent="0.25">
      <c r="A83" s="4" t="s">
        <v>28</v>
      </c>
      <c r="B83" s="3" t="s">
        <v>685</v>
      </c>
      <c r="C83" s="3" t="s">
        <v>686</v>
      </c>
      <c r="D83" s="4" t="s">
        <v>116</v>
      </c>
    </row>
    <row r="84" spans="1:4" x14ac:dyDescent="0.25">
      <c r="A84" s="4" t="s">
        <v>28</v>
      </c>
      <c r="B84" s="3" t="s">
        <v>687</v>
      </c>
      <c r="C84" s="3" t="s">
        <v>688</v>
      </c>
      <c r="D84" s="4" t="s">
        <v>116</v>
      </c>
    </row>
    <row r="85" spans="1:4" x14ac:dyDescent="0.25">
      <c r="A85" s="4" t="s">
        <v>28</v>
      </c>
      <c r="B85" s="4" t="s">
        <v>689</v>
      </c>
      <c r="C85" s="4" t="s">
        <v>690</v>
      </c>
      <c r="D85" s="4" t="s">
        <v>116</v>
      </c>
    </row>
    <row r="86" spans="1:4" x14ac:dyDescent="0.25">
      <c r="A86" s="4" t="s">
        <v>28</v>
      </c>
      <c r="B86" s="4" t="s">
        <v>691</v>
      </c>
      <c r="C86" s="3" t="s">
        <v>692</v>
      </c>
      <c r="D86" s="4" t="s">
        <v>116</v>
      </c>
    </row>
    <row r="87" spans="1:4" x14ac:dyDescent="0.25">
      <c r="A87" s="4" t="s">
        <v>28</v>
      </c>
      <c r="B87" s="4" t="s">
        <v>693</v>
      </c>
      <c r="C87" s="4" t="s">
        <v>694</v>
      </c>
      <c r="D87" s="4" t="s">
        <v>116</v>
      </c>
    </row>
    <row r="88" spans="1:4" x14ac:dyDescent="0.25">
      <c r="A88" s="4" t="s">
        <v>28</v>
      </c>
      <c r="B88" s="4" t="s">
        <v>695</v>
      </c>
      <c r="C88" s="4" t="s">
        <v>657</v>
      </c>
      <c r="D88" s="4" t="s">
        <v>116</v>
      </c>
    </row>
    <row r="89" spans="1:4" x14ac:dyDescent="0.25">
      <c r="A89" s="4" t="s">
        <v>28</v>
      </c>
      <c r="B89" s="4" t="s">
        <v>696</v>
      </c>
      <c r="C89" s="4" t="s">
        <v>697</v>
      </c>
      <c r="D89" s="4" t="s">
        <v>116</v>
      </c>
    </row>
    <row r="90" spans="1:4" x14ac:dyDescent="0.25">
      <c r="A90" s="4" t="s">
        <v>28</v>
      </c>
      <c r="B90" s="4" t="s">
        <v>698</v>
      </c>
      <c r="C90" s="4" t="s">
        <v>699</v>
      </c>
      <c r="D90" s="4" t="s">
        <v>116</v>
      </c>
    </row>
    <row r="91" spans="1:4" x14ac:dyDescent="0.25">
      <c r="A91" s="4" t="s">
        <v>28</v>
      </c>
      <c r="B91" s="4" t="s">
        <v>700</v>
      </c>
      <c r="C91" s="4" t="s">
        <v>701</v>
      </c>
      <c r="D91" s="4" t="s">
        <v>116</v>
      </c>
    </row>
    <row r="92" spans="1:4" x14ac:dyDescent="0.25">
      <c r="A92" s="4" t="s">
        <v>28</v>
      </c>
      <c r="B92" s="4" t="s">
        <v>702</v>
      </c>
      <c r="C92" s="3" t="s">
        <v>703</v>
      </c>
      <c r="D92" s="4" t="s">
        <v>116</v>
      </c>
    </row>
    <row r="93" spans="1:4" x14ac:dyDescent="0.25">
      <c r="A93" s="4" t="s">
        <v>28</v>
      </c>
      <c r="B93" s="4" t="s">
        <v>704</v>
      </c>
      <c r="C93" s="3" t="s">
        <v>705</v>
      </c>
      <c r="D93" s="4" t="s">
        <v>116</v>
      </c>
    </row>
    <row r="94" spans="1:4" x14ac:dyDescent="0.25">
      <c r="A94" s="4" t="s">
        <v>28</v>
      </c>
      <c r="B94" s="4" t="s">
        <v>706</v>
      </c>
      <c r="C94" s="4">
        <v>51.81818181818181</v>
      </c>
      <c r="D94" s="4" t="s">
        <v>663</v>
      </c>
    </row>
    <row r="95" spans="1:4" x14ac:dyDescent="0.25">
      <c r="A95" s="4" t="s">
        <v>28</v>
      </c>
      <c r="B95" s="4" t="s">
        <v>707</v>
      </c>
      <c r="C95" s="4">
        <v>57</v>
      </c>
      <c r="D95" s="4" t="s">
        <v>663</v>
      </c>
    </row>
    <row r="96" spans="1:4" x14ac:dyDescent="0.25">
      <c r="A96" s="4" t="s">
        <v>28</v>
      </c>
      <c r="B96" s="3" t="s">
        <v>708</v>
      </c>
      <c r="C96" s="4">
        <v>57</v>
      </c>
      <c r="D96" s="4" t="s">
        <v>663</v>
      </c>
    </row>
    <row r="97" spans="1:4" x14ac:dyDescent="0.25">
      <c r="A97" s="4" t="s">
        <v>28</v>
      </c>
      <c r="B97" s="4" t="s">
        <v>709</v>
      </c>
      <c r="C97" s="4">
        <v>110</v>
      </c>
      <c r="D97" s="4" t="s">
        <v>710</v>
      </c>
    </row>
    <row r="98" spans="1:4" x14ac:dyDescent="0.25">
      <c r="A98" s="4" t="s">
        <v>28</v>
      </c>
      <c r="B98" s="4" t="s">
        <v>711</v>
      </c>
      <c r="C98" s="4">
        <v>109</v>
      </c>
      <c r="D98" s="4" t="s">
        <v>712</v>
      </c>
    </row>
    <row r="99" spans="1:4" x14ac:dyDescent="0.25">
      <c r="A99" s="4" t="s">
        <v>28</v>
      </c>
      <c r="B99" s="4" t="s">
        <v>713</v>
      </c>
      <c r="C99" s="4">
        <v>55</v>
      </c>
      <c r="D99" s="4" t="s">
        <v>663</v>
      </c>
    </row>
    <row r="100" spans="1:4" x14ac:dyDescent="0.25">
      <c r="A100" s="4" t="s">
        <v>28</v>
      </c>
      <c r="B100" s="4" t="s">
        <v>714</v>
      </c>
      <c r="C100" s="4">
        <v>54.5</v>
      </c>
      <c r="D100" s="4" t="s">
        <v>663</v>
      </c>
    </row>
    <row r="101" spans="1:4" x14ac:dyDescent="0.25">
      <c r="A101" s="4" t="s">
        <v>28</v>
      </c>
      <c r="B101" s="4" t="s">
        <v>715</v>
      </c>
      <c r="C101" s="4">
        <v>900</v>
      </c>
      <c r="D101" s="4" t="s">
        <v>667</v>
      </c>
    </row>
    <row r="102" spans="1:4" x14ac:dyDescent="0.25">
      <c r="A102" s="4" t="s">
        <v>28</v>
      </c>
      <c r="B102" s="4" t="s">
        <v>716</v>
      </c>
      <c r="C102" s="4">
        <v>8100</v>
      </c>
      <c r="D102" s="4" t="s">
        <v>667</v>
      </c>
    </row>
    <row r="103" spans="1:4" x14ac:dyDescent="0.25">
      <c r="A103" s="4" t="s">
        <v>28</v>
      </c>
      <c r="B103" s="4" t="s">
        <v>717</v>
      </c>
      <c r="C103" s="4">
        <v>4</v>
      </c>
      <c r="D103" s="4" t="s">
        <v>718</v>
      </c>
    </row>
    <row r="104" spans="1:4" x14ac:dyDescent="0.25">
      <c r="A104" s="4" t="s">
        <v>28</v>
      </c>
      <c r="B104" s="4" t="s">
        <v>719</v>
      </c>
      <c r="C104" s="4">
        <v>3</v>
      </c>
      <c r="D104" s="4" t="s">
        <v>718</v>
      </c>
    </row>
    <row r="105" spans="1:4" x14ac:dyDescent="0.25">
      <c r="A105" s="4" t="s">
        <v>28</v>
      </c>
      <c r="B105" s="4" t="s">
        <v>720</v>
      </c>
      <c r="C105" s="4">
        <v>268</v>
      </c>
      <c r="D105" s="4" t="s">
        <v>667</v>
      </c>
    </row>
    <row r="106" spans="1:4" x14ac:dyDescent="0.25">
      <c r="A106" s="4" t="s">
        <v>28</v>
      </c>
      <c r="B106" s="4" t="s">
        <v>721</v>
      </c>
      <c r="C106" s="4" t="s">
        <v>722</v>
      </c>
      <c r="D106" s="4" t="s">
        <v>116</v>
      </c>
    </row>
    <row r="107" spans="1:4" x14ac:dyDescent="0.25">
      <c r="A107" s="4" t="s">
        <v>28</v>
      </c>
      <c r="B107" s="4" t="s">
        <v>723</v>
      </c>
      <c r="C107" s="3" t="s">
        <v>724</v>
      </c>
      <c r="D107" s="4" t="s">
        <v>116</v>
      </c>
    </row>
    <row r="108" spans="1:4" x14ac:dyDescent="0.25">
      <c r="A108" s="4" t="s">
        <v>28</v>
      </c>
      <c r="B108" s="4" t="s">
        <v>725</v>
      </c>
      <c r="C108" s="3" t="s">
        <v>726</v>
      </c>
      <c r="D108" s="4" t="s">
        <v>116</v>
      </c>
    </row>
    <row r="109" spans="1:4" x14ac:dyDescent="0.25">
      <c r="A109" s="4" t="s">
        <v>28</v>
      </c>
      <c r="B109" s="4" t="s">
        <v>727</v>
      </c>
      <c r="C109" s="3" t="s">
        <v>728</v>
      </c>
      <c r="D109" s="4" t="s">
        <v>116</v>
      </c>
    </row>
    <row r="110" spans="1:4" x14ac:dyDescent="0.25">
      <c r="A110" s="4" t="s">
        <v>28</v>
      </c>
      <c r="B110" s="4" t="s">
        <v>729</v>
      </c>
      <c r="C110" s="3" t="s">
        <v>730</v>
      </c>
      <c r="D110" s="4" t="s">
        <v>116</v>
      </c>
    </row>
    <row r="111" spans="1:4" x14ac:dyDescent="0.25">
      <c r="A111" s="4" t="s">
        <v>28</v>
      </c>
      <c r="B111" s="4" t="s">
        <v>731</v>
      </c>
      <c r="C111" s="3" t="s">
        <v>732</v>
      </c>
      <c r="D111" s="4" t="s">
        <v>116</v>
      </c>
    </row>
    <row r="112" spans="1:4" x14ac:dyDescent="0.25">
      <c r="A112" s="4" t="s">
        <v>28</v>
      </c>
      <c r="B112" s="4" t="s">
        <v>733</v>
      </c>
      <c r="C112" s="3" t="s">
        <v>734</v>
      </c>
      <c r="D112" s="4" t="s">
        <v>116</v>
      </c>
    </row>
    <row r="113" spans="1:4" x14ac:dyDescent="0.25">
      <c r="A113" s="4" t="s">
        <v>28</v>
      </c>
      <c r="B113" s="4" t="s">
        <v>735</v>
      </c>
      <c r="C113" s="3" t="s">
        <v>736</v>
      </c>
      <c r="D113" s="4" t="s">
        <v>116</v>
      </c>
    </row>
    <row r="114" spans="1:4" x14ac:dyDescent="0.25">
      <c r="A114" s="4" t="s">
        <v>28</v>
      </c>
      <c r="B114" s="4" t="s">
        <v>737</v>
      </c>
      <c r="C114" s="3" t="s">
        <v>738</v>
      </c>
      <c r="D114" s="4" t="s">
        <v>116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4" customWidth="1"/>
    <col min="3" max="3" width="26" customWidth="1"/>
    <col min="4" max="4" width="14" customWidth="1"/>
    <col min="5" max="5" width="12" customWidth="1"/>
    <col min="6" max="6" width="14" customWidth="1"/>
    <col min="7" max="8" width="10" customWidth="1"/>
    <col min="9" max="9" width="18" customWidth="1"/>
    <col min="10" max="10" width="80" customWidth="1"/>
    <col min="11" max="11" width="60" customWidth="1"/>
  </cols>
  <sheetData>
    <row r="1" spans="1:11" x14ac:dyDescent="0.25">
      <c r="A1" s="6" t="s">
        <v>739</v>
      </c>
      <c r="B1" s="6" t="s">
        <v>740</v>
      </c>
      <c r="C1" s="6" t="s">
        <v>741</v>
      </c>
      <c r="D1" s="6" t="s">
        <v>742</v>
      </c>
      <c r="E1" s="6" t="s">
        <v>106</v>
      </c>
      <c r="F1" s="6" t="s">
        <v>107</v>
      </c>
      <c r="G1" s="6" t="s">
        <v>743</v>
      </c>
      <c r="H1" s="6" t="s">
        <v>744</v>
      </c>
      <c r="I1" s="6" t="s">
        <v>499</v>
      </c>
      <c r="J1" s="6" t="s">
        <v>691</v>
      </c>
      <c r="K1" s="6" t="s">
        <v>109</v>
      </c>
    </row>
    <row r="2" spans="1:11" x14ac:dyDescent="0.25">
      <c r="A2" s="4" t="s">
        <v>32</v>
      </c>
      <c r="B2" s="4" t="s">
        <v>745</v>
      </c>
      <c r="C2" s="4" t="s">
        <v>746</v>
      </c>
      <c r="D2" s="4">
        <v>300000</v>
      </c>
      <c r="E2" s="4" t="s">
        <v>624</v>
      </c>
      <c r="F2" s="4">
        <v>300000</v>
      </c>
      <c r="G2" s="4">
        <v>200000</v>
      </c>
      <c r="H2" s="4">
        <v>400000</v>
      </c>
      <c r="I2" s="4" t="s">
        <v>508</v>
      </c>
      <c r="J2" s="3" t="s">
        <v>747</v>
      </c>
      <c r="K2" s="3" t="s">
        <v>748</v>
      </c>
    </row>
    <row r="3" spans="1:11" x14ac:dyDescent="0.25">
      <c r="A3" s="4" t="s">
        <v>749</v>
      </c>
      <c r="B3" s="4" t="s">
        <v>750</v>
      </c>
      <c r="C3" s="4" t="s">
        <v>751</v>
      </c>
      <c r="D3" s="4">
        <v>0.175</v>
      </c>
      <c r="E3" s="4" t="s">
        <v>617</v>
      </c>
      <c r="F3" s="4">
        <v>0.175</v>
      </c>
      <c r="G3" s="4">
        <v>0.15</v>
      </c>
      <c r="H3" s="4">
        <v>0.2</v>
      </c>
      <c r="I3" s="4" t="s">
        <v>504</v>
      </c>
      <c r="J3" s="3" t="s">
        <v>752</v>
      </c>
      <c r="K3" s="3" t="s">
        <v>753</v>
      </c>
    </row>
    <row r="4" spans="1:11" x14ac:dyDescent="0.25">
      <c r="A4" s="4" t="s">
        <v>48</v>
      </c>
      <c r="B4" s="4" t="s">
        <v>754</v>
      </c>
      <c r="C4" s="4" t="s">
        <v>755</v>
      </c>
      <c r="D4" s="4">
        <v>120</v>
      </c>
      <c r="E4" s="4" t="s">
        <v>756</v>
      </c>
      <c r="F4" s="4">
        <v>120</v>
      </c>
      <c r="G4" s="4">
        <v>30</v>
      </c>
      <c r="H4" s="4">
        <v>480</v>
      </c>
      <c r="I4" s="4" t="s">
        <v>267</v>
      </c>
      <c r="J4" s="3" t="s">
        <v>757</v>
      </c>
      <c r="K4" s="4" t="s">
        <v>36</v>
      </c>
    </row>
    <row r="5" spans="1:11" x14ac:dyDescent="0.25">
      <c r="A5" s="4" t="s">
        <v>758</v>
      </c>
      <c r="B5" s="4" t="s">
        <v>759</v>
      </c>
      <c r="C5" s="4" t="s">
        <v>760</v>
      </c>
      <c r="D5" s="4">
        <v>5</v>
      </c>
      <c r="E5" s="4" t="s">
        <v>261</v>
      </c>
      <c r="F5" s="4">
        <v>5</v>
      </c>
      <c r="G5" s="4">
        <v>5</v>
      </c>
      <c r="H5" s="4">
        <v>30</v>
      </c>
      <c r="I5" s="4" t="s">
        <v>761</v>
      </c>
      <c r="J5" s="3" t="s">
        <v>762</v>
      </c>
      <c r="K5" s="4" t="s">
        <v>763</v>
      </c>
    </row>
    <row r="6" spans="1:11" x14ac:dyDescent="0.25">
      <c r="A6" s="4" t="s">
        <v>749</v>
      </c>
      <c r="B6" s="4" t="s">
        <v>764</v>
      </c>
      <c r="C6" s="4" t="s">
        <v>765</v>
      </c>
      <c r="D6" s="4">
        <v>0.775</v>
      </c>
      <c r="E6" s="4" t="s">
        <v>617</v>
      </c>
      <c r="F6" s="4">
        <v>0.775</v>
      </c>
      <c r="G6" s="4">
        <v>0.7</v>
      </c>
      <c r="H6" s="4">
        <v>0.85</v>
      </c>
      <c r="I6" s="4" t="s">
        <v>504</v>
      </c>
      <c r="J6" s="3" t="s">
        <v>766</v>
      </c>
      <c r="K6" s="3" t="s">
        <v>767</v>
      </c>
    </row>
    <row r="7" spans="1:11" x14ac:dyDescent="0.25">
      <c r="A7" s="4" t="s">
        <v>749</v>
      </c>
      <c r="B7" s="4" t="s">
        <v>768</v>
      </c>
      <c r="C7" s="4" t="s">
        <v>769</v>
      </c>
      <c r="D7" s="4">
        <v>1</v>
      </c>
      <c r="E7" s="4" t="s">
        <v>617</v>
      </c>
      <c r="F7" s="4">
        <v>1</v>
      </c>
      <c r="G7" s="4">
        <v>0.9</v>
      </c>
      <c r="H7" s="4">
        <v>1</v>
      </c>
      <c r="I7" s="4" t="s">
        <v>275</v>
      </c>
      <c r="J7" s="3" t="s">
        <v>770</v>
      </c>
      <c r="K7" s="3" t="s">
        <v>771</v>
      </c>
    </row>
    <row r="8" spans="1:11" x14ac:dyDescent="0.25">
      <c r="A8" s="4" t="s">
        <v>758</v>
      </c>
      <c r="B8" s="4" t="s">
        <v>572</v>
      </c>
      <c r="C8" s="4" t="s">
        <v>772</v>
      </c>
      <c r="D8" s="4">
        <v>0.12</v>
      </c>
      <c r="E8" s="4" t="s">
        <v>626</v>
      </c>
      <c r="F8" s="4">
        <v>0.12</v>
      </c>
      <c r="G8" s="4">
        <v>0.08</v>
      </c>
      <c r="H8" s="4">
        <v>0.2</v>
      </c>
      <c r="I8" s="4" t="s">
        <v>773</v>
      </c>
      <c r="J8" s="3" t="s">
        <v>774</v>
      </c>
      <c r="K8" s="4" t="s">
        <v>36</v>
      </c>
    </row>
    <row r="9" spans="1:11" x14ac:dyDescent="0.25">
      <c r="A9" s="4" t="s">
        <v>48</v>
      </c>
      <c r="B9" s="4" t="s">
        <v>775</v>
      </c>
      <c r="C9" s="4" t="s">
        <v>776</v>
      </c>
      <c r="D9" s="4">
        <v>15</v>
      </c>
      <c r="E9" s="4" t="s">
        <v>756</v>
      </c>
      <c r="F9" s="4">
        <v>15</v>
      </c>
      <c r="G9" s="4">
        <v>0</v>
      </c>
      <c r="H9" s="4">
        <v>60</v>
      </c>
      <c r="I9" s="4" t="s">
        <v>267</v>
      </c>
      <c r="J9" s="3" t="s">
        <v>777</v>
      </c>
      <c r="K9" s="4" t="s">
        <v>36</v>
      </c>
    </row>
    <row r="10" spans="1:11" x14ac:dyDescent="0.25">
      <c r="A10" s="4" t="s">
        <v>48</v>
      </c>
      <c r="B10" s="3" t="s">
        <v>778</v>
      </c>
      <c r="C10" s="4" t="s">
        <v>779</v>
      </c>
      <c r="D10" s="4">
        <v>0.9</v>
      </c>
      <c r="E10" s="4" t="s">
        <v>617</v>
      </c>
      <c r="F10" s="4">
        <v>0.9</v>
      </c>
      <c r="G10" s="4">
        <v>0.05</v>
      </c>
      <c r="H10" s="4">
        <v>1</v>
      </c>
      <c r="I10" s="4" t="s">
        <v>267</v>
      </c>
      <c r="J10" s="3" t="s">
        <v>780</v>
      </c>
      <c r="K10" s="4" t="s">
        <v>36</v>
      </c>
    </row>
    <row r="11" spans="1:11" x14ac:dyDescent="0.25">
      <c r="A11" s="4" t="s">
        <v>48</v>
      </c>
      <c r="B11" s="3" t="s">
        <v>781</v>
      </c>
      <c r="C11" s="4" t="s">
        <v>782</v>
      </c>
      <c r="D11" s="4">
        <v>0.2</v>
      </c>
      <c r="E11" s="4" t="s">
        <v>617</v>
      </c>
      <c r="F11" s="4">
        <v>0.2</v>
      </c>
      <c r="G11" s="4">
        <v>0</v>
      </c>
      <c r="H11" s="4">
        <v>0.95</v>
      </c>
      <c r="I11" s="4" t="s">
        <v>267</v>
      </c>
      <c r="J11" s="3" t="s">
        <v>783</v>
      </c>
      <c r="K11" s="4" t="s">
        <v>36</v>
      </c>
    </row>
    <row r="12" spans="1:11" x14ac:dyDescent="0.25">
      <c r="A12" s="4" t="s">
        <v>749</v>
      </c>
      <c r="B12" s="4" t="s">
        <v>784</v>
      </c>
      <c r="C12" s="4" t="s">
        <v>785</v>
      </c>
      <c r="D12" s="4">
        <v>3</v>
      </c>
      <c r="E12" s="4" t="s">
        <v>247</v>
      </c>
      <c r="F12" s="4">
        <v>3</v>
      </c>
      <c r="G12" s="4">
        <v>0</v>
      </c>
      <c r="H12" s="4" t="s">
        <v>36</v>
      </c>
      <c r="I12" s="4" t="s">
        <v>267</v>
      </c>
      <c r="J12" s="3" t="s">
        <v>786</v>
      </c>
      <c r="K12" s="4" t="s">
        <v>36</v>
      </c>
    </row>
    <row r="13" spans="1:11" x14ac:dyDescent="0.25">
      <c r="A13" s="4" t="s">
        <v>749</v>
      </c>
      <c r="B13" s="4" t="s">
        <v>787</v>
      </c>
      <c r="C13" s="4" t="s">
        <v>788</v>
      </c>
      <c r="D13" s="4">
        <v>30</v>
      </c>
      <c r="E13" s="4" t="s">
        <v>667</v>
      </c>
      <c r="F13" s="4">
        <v>30</v>
      </c>
      <c r="G13" s="4">
        <v>0</v>
      </c>
      <c r="H13" s="4" t="s">
        <v>36</v>
      </c>
      <c r="I13" s="4" t="s">
        <v>267</v>
      </c>
      <c r="J13" s="3" t="s">
        <v>789</v>
      </c>
      <c r="K13" s="4" t="s">
        <v>36</v>
      </c>
    </row>
    <row r="14" spans="1:11" x14ac:dyDescent="0.25">
      <c r="A14" s="4" t="s">
        <v>32</v>
      </c>
      <c r="B14" s="4" t="s">
        <v>790</v>
      </c>
      <c r="C14" s="4" t="s">
        <v>791</v>
      </c>
      <c r="D14" s="4">
        <v>0.1</v>
      </c>
      <c r="E14" s="4" t="s">
        <v>617</v>
      </c>
      <c r="F14" s="4">
        <v>0.1</v>
      </c>
      <c r="G14" s="4">
        <v>0.05</v>
      </c>
      <c r="H14" s="4">
        <v>0.2</v>
      </c>
      <c r="I14" s="4" t="s">
        <v>504</v>
      </c>
      <c r="J14" s="3" t="s">
        <v>792</v>
      </c>
      <c r="K14" s="3" t="s">
        <v>793</v>
      </c>
    </row>
    <row r="15" spans="1:11" x14ac:dyDescent="0.25">
      <c r="A15" s="4" t="s">
        <v>749</v>
      </c>
      <c r="B15" s="3" t="s">
        <v>794</v>
      </c>
      <c r="C15" s="4" t="s">
        <v>795</v>
      </c>
      <c r="D15" s="4">
        <v>45</v>
      </c>
      <c r="E15" s="4" t="s">
        <v>667</v>
      </c>
      <c r="F15" s="4">
        <v>45</v>
      </c>
      <c r="G15" s="4">
        <v>0</v>
      </c>
      <c r="H15" s="4" t="s">
        <v>36</v>
      </c>
      <c r="I15" s="4" t="s">
        <v>267</v>
      </c>
      <c r="J15" s="3" t="s">
        <v>796</v>
      </c>
      <c r="K15" s="4" t="s">
        <v>36</v>
      </c>
    </row>
    <row r="16" spans="1:11" x14ac:dyDescent="0.25">
      <c r="A16" s="4" t="s">
        <v>797</v>
      </c>
      <c r="B16" s="3" t="s">
        <v>798</v>
      </c>
      <c r="C16" s="4" t="s">
        <v>799</v>
      </c>
      <c r="D16" s="4">
        <v>0.4</v>
      </c>
      <c r="E16" s="4" t="s">
        <v>247</v>
      </c>
      <c r="F16" s="4">
        <v>0.4</v>
      </c>
      <c r="G16" s="4">
        <v>0</v>
      </c>
      <c r="H16" s="4" t="s">
        <v>36</v>
      </c>
      <c r="I16" s="4" t="s">
        <v>267</v>
      </c>
      <c r="J16" s="3" t="s">
        <v>800</v>
      </c>
      <c r="K16" s="4" t="s">
        <v>36</v>
      </c>
    </row>
    <row r="17" spans="1:11" x14ac:dyDescent="0.25">
      <c r="A17" s="4" t="s">
        <v>801</v>
      </c>
      <c r="B17" s="4" t="s">
        <v>802</v>
      </c>
      <c r="C17" s="4" t="s">
        <v>803</v>
      </c>
      <c r="D17" s="4">
        <v>0.2</v>
      </c>
      <c r="E17" s="4" t="s">
        <v>617</v>
      </c>
      <c r="F17" s="4">
        <v>0.2</v>
      </c>
      <c r="G17" s="4">
        <v>0</v>
      </c>
      <c r="H17" s="4">
        <v>1</v>
      </c>
      <c r="I17" s="4" t="s">
        <v>773</v>
      </c>
      <c r="J17" s="3" t="s">
        <v>804</v>
      </c>
      <c r="K17" s="4" t="s">
        <v>36</v>
      </c>
    </row>
    <row r="18" spans="1:11" x14ac:dyDescent="0.25">
      <c r="A18" s="4" t="s">
        <v>801</v>
      </c>
      <c r="B18" s="4" t="s">
        <v>805</v>
      </c>
      <c r="C18" s="4" t="s">
        <v>806</v>
      </c>
      <c r="D18" s="4">
        <v>0.4</v>
      </c>
      <c r="E18" s="4" t="s">
        <v>617</v>
      </c>
      <c r="F18" s="4">
        <v>0.4</v>
      </c>
      <c r="G18" s="4">
        <v>0</v>
      </c>
      <c r="H18" s="4">
        <v>1</v>
      </c>
      <c r="I18" s="4" t="s">
        <v>773</v>
      </c>
      <c r="J18" s="3" t="s">
        <v>807</v>
      </c>
      <c r="K18" s="4" t="s">
        <v>36</v>
      </c>
    </row>
    <row r="19" spans="1:11" x14ac:dyDescent="0.25">
      <c r="A19" s="4" t="s">
        <v>801</v>
      </c>
      <c r="B19" s="4" t="s">
        <v>808</v>
      </c>
      <c r="C19" s="4" t="s">
        <v>809</v>
      </c>
      <c r="D19" s="4">
        <v>0.1</v>
      </c>
      <c r="E19" s="4" t="s">
        <v>617</v>
      </c>
      <c r="F19" s="4">
        <v>0.1</v>
      </c>
      <c r="G19" s="4">
        <v>0</v>
      </c>
      <c r="H19" s="4">
        <v>1</v>
      </c>
      <c r="I19" s="4" t="s">
        <v>773</v>
      </c>
      <c r="J19" s="3" t="s">
        <v>810</v>
      </c>
      <c r="K19" s="4" t="s">
        <v>36</v>
      </c>
    </row>
    <row r="20" spans="1:11" x14ac:dyDescent="0.25">
      <c r="A20" s="4" t="s">
        <v>48</v>
      </c>
      <c r="B20" s="3" t="s">
        <v>811</v>
      </c>
      <c r="C20" s="4" t="s">
        <v>812</v>
      </c>
      <c r="D20" s="4">
        <v>10</v>
      </c>
      <c r="E20" s="4" t="s">
        <v>756</v>
      </c>
      <c r="F20" s="4">
        <v>10</v>
      </c>
      <c r="G20" s="4">
        <v>0</v>
      </c>
      <c r="H20" s="4" t="s">
        <v>36</v>
      </c>
      <c r="I20" s="4" t="s">
        <v>267</v>
      </c>
      <c r="J20" s="3" t="s">
        <v>813</v>
      </c>
      <c r="K20" s="4" t="s">
        <v>36</v>
      </c>
    </row>
    <row r="21" spans="1:11" x14ac:dyDescent="0.25">
      <c r="A21" s="4" t="s">
        <v>814</v>
      </c>
      <c r="B21" s="3" t="s">
        <v>815</v>
      </c>
      <c r="C21" s="4" t="s">
        <v>816</v>
      </c>
      <c r="D21" s="4">
        <v>1973</v>
      </c>
      <c r="E21" s="4" t="s">
        <v>151</v>
      </c>
      <c r="F21" s="4">
        <v>1973</v>
      </c>
      <c r="G21" s="4">
        <v>1800</v>
      </c>
      <c r="H21" s="4">
        <v>2100</v>
      </c>
      <c r="I21" s="4" t="s">
        <v>267</v>
      </c>
      <c r="J21" s="3" t="s">
        <v>817</v>
      </c>
      <c r="K21" s="4" t="s">
        <v>36</v>
      </c>
    </row>
    <row r="22" spans="1:11" x14ac:dyDescent="0.25">
      <c r="A22" s="4" t="s">
        <v>749</v>
      </c>
      <c r="B22" s="4" t="s">
        <v>818</v>
      </c>
      <c r="C22" s="4" t="s">
        <v>819</v>
      </c>
      <c r="D22" s="4">
        <v>0.8</v>
      </c>
      <c r="E22" s="4" t="s">
        <v>617</v>
      </c>
      <c r="F22" s="4">
        <v>0.8</v>
      </c>
      <c r="G22" s="4">
        <v>0.6</v>
      </c>
      <c r="H22" s="4">
        <v>1</v>
      </c>
      <c r="I22" s="4" t="s">
        <v>267</v>
      </c>
      <c r="J22" s="3" t="s">
        <v>820</v>
      </c>
      <c r="K22" s="4" t="s">
        <v>36</v>
      </c>
    </row>
    <row r="23" spans="1:11" x14ac:dyDescent="0.25">
      <c r="A23" s="4" t="s">
        <v>814</v>
      </c>
      <c r="B23" s="4" t="s">
        <v>821</v>
      </c>
      <c r="C23" s="4" t="s">
        <v>822</v>
      </c>
      <c r="D23" s="4">
        <v>1.302</v>
      </c>
      <c r="E23" s="4" t="s">
        <v>621</v>
      </c>
      <c r="F23" s="4">
        <v>1.302</v>
      </c>
      <c r="G23" s="4">
        <v>1.302</v>
      </c>
      <c r="H23" s="4">
        <v>1.302</v>
      </c>
      <c r="I23" s="4" t="s">
        <v>504</v>
      </c>
      <c r="J23" s="3" t="s">
        <v>823</v>
      </c>
      <c r="K23" s="4" t="s">
        <v>824</v>
      </c>
    </row>
    <row r="24" spans="1:11" x14ac:dyDescent="0.25">
      <c r="A24" s="4" t="s">
        <v>801</v>
      </c>
      <c r="B24" s="4" t="s">
        <v>825</v>
      </c>
      <c r="C24" s="4" t="s">
        <v>826</v>
      </c>
      <c r="D24" s="4">
        <v>0.15</v>
      </c>
      <c r="E24" s="4" t="s">
        <v>617</v>
      </c>
      <c r="F24" s="4">
        <v>0.15</v>
      </c>
      <c r="G24" s="4">
        <v>0</v>
      </c>
      <c r="H24" s="4">
        <v>1</v>
      </c>
      <c r="I24" s="4" t="s">
        <v>773</v>
      </c>
      <c r="J24" s="3" t="s">
        <v>827</v>
      </c>
      <c r="K24" s="4" t="s">
        <v>36</v>
      </c>
    </row>
    <row r="25" spans="1:11" x14ac:dyDescent="0.25">
      <c r="A25" s="4" t="s">
        <v>48</v>
      </c>
      <c r="B25" s="3" t="s">
        <v>828</v>
      </c>
      <c r="C25" s="4" t="s">
        <v>829</v>
      </c>
      <c r="D25" s="4">
        <v>0.97</v>
      </c>
      <c r="E25" s="4" t="s">
        <v>617</v>
      </c>
      <c r="F25" s="4">
        <v>0.97</v>
      </c>
      <c r="G25" s="4">
        <v>0</v>
      </c>
      <c r="H25" s="4">
        <v>1</v>
      </c>
      <c r="I25" s="4" t="s">
        <v>267</v>
      </c>
      <c r="J25" s="3" t="s">
        <v>830</v>
      </c>
      <c r="K25" s="4" t="s">
        <v>36</v>
      </c>
    </row>
    <row r="26" spans="1:11" x14ac:dyDescent="0.25">
      <c r="A26" s="4" t="s">
        <v>32</v>
      </c>
      <c r="B26" s="3" t="s">
        <v>831</v>
      </c>
      <c r="C26" s="4" t="s">
        <v>832</v>
      </c>
      <c r="D26" s="4">
        <v>150</v>
      </c>
      <c r="E26" s="4" t="s">
        <v>833</v>
      </c>
      <c r="F26" s="4">
        <v>150</v>
      </c>
      <c r="G26" s="4">
        <v>0</v>
      </c>
      <c r="H26" s="4" t="s">
        <v>36</v>
      </c>
      <c r="I26" s="4" t="s">
        <v>267</v>
      </c>
      <c r="J26" s="3" t="s">
        <v>834</v>
      </c>
      <c r="K26" s="4" t="s">
        <v>36</v>
      </c>
    </row>
    <row r="27" spans="1:11" x14ac:dyDescent="0.25">
      <c r="A27" s="4" t="s">
        <v>749</v>
      </c>
      <c r="B27" s="3" t="s">
        <v>835</v>
      </c>
      <c r="C27" s="4" t="s">
        <v>836</v>
      </c>
      <c r="D27" s="4">
        <v>20</v>
      </c>
      <c r="E27" s="4" t="s">
        <v>667</v>
      </c>
      <c r="F27" s="4">
        <v>20</v>
      </c>
      <c r="G27" s="4">
        <v>0</v>
      </c>
      <c r="H27" s="4" t="s">
        <v>36</v>
      </c>
      <c r="I27" s="4" t="s">
        <v>267</v>
      </c>
      <c r="J27" s="3" t="s">
        <v>837</v>
      </c>
      <c r="K27" s="4" t="s">
        <v>36</v>
      </c>
    </row>
    <row r="28" spans="1:11" x14ac:dyDescent="0.25">
      <c r="A28" s="4" t="s">
        <v>32</v>
      </c>
      <c r="B28" s="4" t="s">
        <v>838</v>
      </c>
      <c r="C28" s="4" t="s">
        <v>839</v>
      </c>
      <c r="D28" s="4">
        <v>1000000</v>
      </c>
      <c r="E28" s="4" t="s">
        <v>624</v>
      </c>
      <c r="F28" s="4">
        <v>1000000</v>
      </c>
      <c r="G28" s="4">
        <v>0</v>
      </c>
      <c r="H28" s="4">
        <v>5000000</v>
      </c>
      <c r="I28" s="4" t="s">
        <v>508</v>
      </c>
      <c r="J28" s="3" t="s">
        <v>840</v>
      </c>
      <c r="K28" s="3" t="s">
        <v>841</v>
      </c>
    </row>
    <row r="29" spans="1:11" x14ac:dyDescent="0.25">
      <c r="A29" s="4" t="s">
        <v>32</v>
      </c>
      <c r="B29" s="4" t="s">
        <v>842</v>
      </c>
      <c r="C29" s="4" t="s">
        <v>843</v>
      </c>
      <c r="D29" s="4">
        <v>150000</v>
      </c>
      <c r="E29" s="4" t="s">
        <v>624</v>
      </c>
      <c r="F29" s="4">
        <v>150000</v>
      </c>
      <c r="G29" s="4">
        <v>0</v>
      </c>
      <c r="H29" s="4" t="s">
        <v>36</v>
      </c>
      <c r="I29" s="4" t="s">
        <v>267</v>
      </c>
      <c r="J29" s="3" t="s">
        <v>844</v>
      </c>
      <c r="K29" s="4" t="s">
        <v>36</v>
      </c>
    </row>
    <row r="30" spans="1:11" x14ac:dyDescent="0.25">
      <c r="A30" s="4" t="s">
        <v>749</v>
      </c>
      <c r="B30" s="4" t="s">
        <v>845</v>
      </c>
      <c r="C30" s="4" t="s">
        <v>846</v>
      </c>
      <c r="D30" s="4">
        <v>1.5</v>
      </c>
      <c r="E30" s="4" t="s">
        <v>621</v>
      </c>
      <c r="F30" s="4">
        <v>1.5</v>
      </c>
      <c r="G30" s="4">
        <v>1</v>
      </c>
      <c r="H30" s="4">
        <v>3</v>
      </c>
      <c r="I30" s="4" t="s">
        <v>267</v>
      </c>
      <c r="J30" s="3" t="s">
        <v>847</v>
      </c>
      <c r="K30" s="4" t="s">
        <v>36</v>
      </c>
    </row>
    <row r="31" spans="1:11" x14ac:dyDescent="0.25">
      <c r="A31" s="4" t="s">
        <v>801</v>
      </c>
      <c r="B31" s="4" t="s">
        <v>848</v>
      </c>
      <c r="C31" s="4" t="s">
        <v>849</v>
      </c>
      <c r="D31" s="4">
        <v>0.15</v>
      </c>
      <c r="E31" s="4" t="s">
        <v>617</v>
      </c>
      <c r="F31" s="4">
        <v>0.15</v>
      </c>
      <c r="G31" s="4">
        <v>0</v>
      </c>
      <c r="H31" s="4">
        <v>1</v>
      </c>
      <c r="I31" s="4" t="s">
        <v>773</v>
      </c>
      <c r="J31" s="3" t="s">
        <v>850</v>
      </c>
      <c r="K31" s="4" t="s">
        <v>36</v>
      </c>
    </row>
    <row r="32" spans="1:11" x14ac:dyDescent="0.25">
      <c r="A32" s="4" t="s">
        <v>38</v>
      </c>
      <c r="B32" s="3" t="s">
        <v>851</v>
      </c>
      <c r="C32" s="4" t="s">
        <v>852</v>
      </c>
      <c r="D32" s="4">
        <v>0.2</v>
      </c>
      <c r="E32" s="4" t="s">
        <v>617</v>
      </c>
      <c r="F32" s="4">
        <v>0.2</v>
      </c>
      <c r="G32" s="4">
        <v>0</v>
      </c>
      <c r="H32" s="4">
        <v>1</v>
      </c>
      <c r="I32" s="4" t="s">
        <v>773</v>
      </c>
      <c r="J32" s="3" t="s">
        <v>853</v>
      </c>
      <c r="K32" s="4" t="s">
        <v>36</v>
      </c>
    </row>
    <row r="33" spans="1:11" x14ac:dyDescent="0.25">
      <c r="A33" s="4" t="s">
        <v>797</v>
      </c>
      <c r="B33" s="4" t="s">
        <v>854</v>
      </c>
      <c r="C33" s="4" t="s">
        <v>855</v>
      </c>
      <c r="D33" s="4">
        <v>9</v>
      </c>
      <c r="E33" s="4" t="s">
        <v>856</v>
      </c>
      <c r="F33" s="4">
        <v>9</v>
      </c>
      <c r="G33" s="4">
        <v>0</v>
      </c>
      <c r="H33" s="4" t="s">
        <v>36</v>
      </c>
      <c r="I33" s="4" t="s">
        <v>267</v>
      </c>
      <c r="J33" s="3" t="s">
        <v>857</v>
      </c>
      <c r="K33" s="4" t="s">
        <v>36</v>
      </c>
    </row>
    <row r="34" spans="1:11" x14ac:dyDescent="0.25">
      <c r="A34" s="4" t="s">
        <v>38</v>
      </c>
      <c r="B34" s="4" t="s">
        <v>858</v>
      </c>
      <c r="C34" s="4" t="s">
        <v>859</v>
      </c>
      <c r="D34" s="4">
        <v>3</v>
      </c>
      <c r="E34" s="4" t="s">
        <v>261</v>
      </c>
      <c r="F34" s="4">
        <v>3</v>
      </c>
      <c r="G34" s="4">
        <v>0</v>
      </c>
      <c r="H34" s="4" t="s">
        <v>36</v>
      </c>
      <c r="I34" s="4" t="s">
        <v>761</v>
      </c>
      <c r="J34" s="3" t="s">
        <v>860</v>
      </c>
      <c r="K34" s="4" t="s">
        <v>861</v>
      </c>
    </row>
    <row r="35" spans="1:11" x14ac:dyDescent="0.25">
      <c r="A35" s="4" t="s">
        <v>38</v>
      </c>
      <c r="B35" s="4" t="s">
        <v>862</v>
      </c>
      <c r="C35" s="4" t="s">
        <v>863</v>
      </c>
      <c r="D35" s="4">
        <v>5</v>
      </c>
      <c r="E35" s="4" t="s">
        <v>261</v>
      </c>
      <c r="F35" s="4">
        <v>5</v>
      </c>
      <c r="G35" s="4">
        <v>0</v>
      </c>
      <c r="H35" s="4" t="s">
        <v>36</v>
      </c>
      <c r="I35" s="4" t="s">
        <v>761</v>
      </c>
      <c r="J35" s="3" t="s">
        <v>864</v>
      </c>
      <c r="K35" s="4" t="s">
        <v>861</v>
      </c>
    </row>
    <row r="36" spans="1:11" x14ac:dyDescent="0.25">
      <c r="A36" s="4" t="s">
        <v>797</v>
      </c>
      <c r="B36" s="3" t="s">
        <v>865</v>
      </c>
      <c r="C36" s="4" t="s">
        <v>866</v>
      </c>
      <c r="D36" s="4">
        <v>0.02</v>
      </c>
      <c r="E36" s="4" t="s">
        <v>626</v>
      </c>
      <c r="F36" s="4">
        <v>0.02</v>
      </c>
      <c r="G36" s="4">
        <v>0</v>
      </c>
      <c r="H36" s="4">
        <v>0.05</v>
      </c>
      <c r="I36" s="4" t="s">
        <v>267</v>
      </c>
      <c r="J36" s="3" t="s">
        <v>867</v>
      </c>
      <c r="K36" s="4" t="s">
        <v>36</v>
      </c>
    </row>
    <row r="37" spans="1:11" x14ac:dyDescent="0.25">
      <c r="A37" s="4" t="s">
        <v>797</v>
      </c>
      <c r="B37" s="3" t="s">
        <v>868</v>
      </c>
      <c r="C37" s="4" t="s">
        <v>869</v>
      </c>
      <c r="D37" s="4">
        <v>0.1</v>
      </c>
      <c r="E37" s="4" t="s">
        <v>617</v>
      </c>
      <c r="F37" s="4">
        <v>0.1</v>
      </c>
      <c r="G37" s="4">
        <v>0.05</v>
      </c>
      <c r="H37" s="4">
        <v>0.2</v>
      </c>
      <c r="I37" s="4" t="s">
        <v>267</v>
      </c>
      <c r="J37" s="3" t="s">
        <v>870</v>
      </c>
      <c r="K37" s="4" t="s">
        <v>36</v>
      </c>
    </row>
    <row r="38" spans="1:11" x14ac:dyDescent="0.25">
      <c r="A38" s="4" t="s">
        <v>32</v>
      </c>
      <c r="B38" s="4" t="s">
        <v>871</v>
      </c>
      <c r="C38" s="4" t="s">
        <v>872</v>
      </c>
      <c r="D38" s="4">
        <v>1250000</v>
      </c>
      <c r="E38" s="4" t="s">
        <v>624</v>
      </c>
      <c r="F38" s="4">
        <v>1250000</v>
      </c>
      <c r="G38" s="4">
        <v>500000</v>
      </c>
      <c r="H38" s="4">
        <v>2000000</v>
      </c>
      <c r="I38" s="4" t="s">
        <v>508</v>
      </c>
      <c r="J38" s="3" t="s">
        <v>873</v>
      </c>
      <c r="K38" s="3" t="s">
        <v>874</v>
      </c>
    </row>
    <row r="39" spans="1:11" x14ac:dyDescent="0.25">
      <c r="A39" s="4" t="s">
        <v>814</v>
      </c>
      <c r="B39" s="3" t="s">
        <v>875</v>
      </c>
      <c r="C39" s="4" t="s">
        <v>876</v>
      </c>
      <c r="D39" s="4">
        <v>0.5</v>
      </c>
      <c r="E39" s="4" t="s">
        <v>617</v>
      </c>
      <c r="F39" s="4">
        <v>0.5</v>
      </c>
      <c r="G39" s="4">
        <v>0</v>
      </c>
      <c r="H39" s="4">
        <v>1</v>
      </c>
      <c r="I39" s="4" t="s">
        <v>267</v>
      </c>
      <c r="J39" s="3" t="s">
        <v>877</v>
      </c>
      <c r="K39" s="4" t="s">
        <v>36</v>
      </c>
    </row>
    <row r="40" spans="1:11" x14ac:dyDescent="0.25">
      <c r="A40" s="4" t="s">
        <v>797</v>
      </c>
      <c r="B40" s="3" t="s">
        <v>878</v>
      </c>
      <c r="C40" s="4" t="s">
        <v>879</v>
      </c>
      <c r="D40" s="4">
        <v>0.052</v>
      </c>
      <c r="E40" s="4" t="s">
        <v>880</v>
      </c>
      <c r="F40" s="4">
        <v>0.052</v>
      </c>
      <c r="G40" s="4">
        <v>0.037</v>
      </c>
      <c r="H40" s="4">
        <v>0.067</v>
      </c>
      <c r="I40" s="4" t="s">
        <v>275</v>
      </c>
      <c r="J40" s="3" t="s">
        <v>881</v>
      </c>
      <c r="K40" s="3" t="s">
        <v>882</v>
      </c>
    </row>
    <row r="41" spans="1:11" x14ac:dyDescent="0.25">
      <c r="A41" s="4" t="s">
        <v>814</v>
      </c>
      <c r="B41" s="4" t="s">
        <v>883</v>
      </c>
      <c r="C41" s="4" t="s">
        <v>884</v>
      </c>
      <c r="D41" s="4">
        <v>20</v>
      </c>
      <c r="E41" s="4" t="s">
        <v>125</v>
      </c>
      <c r="F41" s="4">
        <v>20</v>
      </c>
      <c r="G41" s="4">
        <v>10</v>
      </c>
      <c r="H41" s="4">
        <v>40</v>
      </c>
      <c r="I41" s="4" t="s">
        <v>267</v>
      </c>
      <c r="J41" s="3" t="s">
        <v>885</v>
      </c>
      <c r="K41" s="4" t="s">
        <v>36</v>
      </c>
    </row>
    <row r="42" spans="1:11" x14ac:dyDescent="0.25">
      <c r="A42" s="4" t="s">
        <v>797</v>
      </c>
      <c r="B42" s="3" t="s">
        <v>886</v>
      </c>
      <c r="C42" s="4" t="s">
        <v>887</v>
      </c>
      <c r="D42" s="4">
        <v>0.12</v>
      </c>
      <c r="E42" s="4" t="s">
        <v>626</v>
      </c>
      <c r="F42" s="4">
        <v>0.12</v>
      </c>
      <c r="G42" s="4">
        <v>0.1</v>
      </c>
      <c r="H42" s="4">
        <v>0.24</v>
      </c>
      <c r="I42" s="4" t="s">
        <v>508</v>
      </c>
      <c r="J42" s="3" t="s">
        <v>888</v>
      </c>
      <c r="K42" s="3" t="s">
        <v>889</v>
      </c>
    </row>
    <row r="43" spans="1:11" x14ac:dyDescent="0.25">
      <c r="A43" s="4" t="s">
        <v>48</v>
      </c>
      <c r="B43" s="4" t="s">
        <v>890</v>
      </c>
      <c r="C43" s="4" t="s">
        <v>891</v>
      </c>
      <c r="D43" s="4">
        <v>0.4</v>
      </c>
      <c r="E43" s="4" t="s">
        <v>617</v>
      </c>
      <c r="F43" s="4">
        <v>0.4</v>
      </c>
      <c r="G43" s="4">
        <v>0</v>
      </c>
      <c r="H43" s="4">
        <v>1</v>
      </c>
      <c r="I43" s="4" t="s">
        <v>267</v>
      </c>
      <c r="J43" s="3" t="s">
        <v>892</v>
      </c>
      <c r="K43" s="4" t="s">
        <v>36</v>
      </c>
    </row>
    <row r="44" spans="1:11" x14ac:dyDescent="0.25">
      <c r="A44" s="4" t="s">
        <v>48</v>
      </c>
      <c r="B44" s="3" t="s">
        <v>893</v>
      </c>
      <c r="C44" s="4" t="s">
        <v>894</v>
      </c>
      <c r="D44" s="4">
        <v>0.1</v>
      </c>
      <c r="E44" s="4" t="s">
        <v>617</v>
      </c>
      <c r="F44" s="4">
        <v>0.1</v>
      </c>
      <c r="G44" s="4">
        <v>0</v>
      </c>
      <c r="H44" s="4">
        <v>0.9</v>
      </c>
      <c r="I44" s="4" t="s">
        <v>267</v>
      </c>
      <c r="J44" s="3" t="s">
        <v>895</v>
      </c>
      <c r="K44" s="4" t="s">
        <v>36</v>
      </c>
    </row>
    <row r="45" spans="1:11" x14ac:dyDescent="0.25">
      <c r="A45" s="4" t="s">
        <v>797</v>
      </c>
      <c r="B45" s="4" t="s">
        <v>896</v>
      </c>
      <c r="C45" s="4" t="s">
        <v>897</v>
      </c>
      <c r="D45" s="4">
        <v>4</v>
      </c>
      <c r="E45" s="4" t="s">
        <v>261</v>
      </c>
      <c r="F45" s="4">
        <v>4</v>
      </c>
      <c r="G45" s="4">
        <v>3</v>
      </c>
      <c r="H45" s="4">
        <v>5</v>
      </c>
      <c r="I45" s="4" t="s">
        <v>504</v>
      </c>
      <c r="J45" s="3" t="s">
        <v>898</v>
      </c>
      <c r="K45" s="3" t="s">
        <v>899</v>
      </c>
    </row>
    <row r="46" spans="1:11" x14ac:dyDescent="0.25">
      <c r="A46" s="4" t="s">
        <v>32</v>
      </c>
      <c r="B46" s="4" t="s">
        <v>900</v>
      </c>
      <c r="C46" s="4" t="s">
        <v>901</v>
      </c>
      <c r="D46" s="4">
        <v>100000</v>
      </c>
      <c r="E46" s="4" t="s">
        <v>624</v>
      </c>
      <c r="F46" s="4">
        <v>100000</v>
      </c>
      <c r="G46" s="4">
        <v>0</v>
      </c>
      <c r="H46" s="4">
        <v>1000000</v>
      </c>
      <c r="I46" s="4" t="s">
        <v>508</v>
      </c>
      <c r="J46" s="3" t="s">
        <v>902</v>
      </c>
      <c r="K46" s="3" t="s">
        <v>903</v>
      </c>
    </row>
    <row r="47" spans="1:11" x14ac:dyDescent="0.25">
      <c r="A47" s="4" t="s">
        <v>749</v>
      </c>
      <c r="B47" s="3" t="s">
        <v>904</v>
      </c>
      <c r="C47" s="4" t="s">
        <v>905</v>
      </c>
      <c r="D47" s="4">
        <v>5</v>
      </c>
      <c r="E47" s="4" t="s">
        <v>125</v>
      </c>
      <c r="F47" s="4">
        <v>5</v>
      </c>
      <c r="G47" s="4">
        <v>1</v>
      </c>
      <c r="H47" s="4">
        <v>20</v>
      </c>
      <c r="I47" s="4" t="s">
        <v>267</v>
      </c>
      <c r="J47" s="3" t="s">
        <v>906</v>
      </c>
      <c r="K47" s="4" t="s">
        <v>36</v>
      </c>
    </row>
    <row r="48" spans="1:11" x14ac:dyDescent="0.25">
      <c r="A48" s="4" t="s">
        <v>758</v>
      </c>
      <c r="B48" s="3" t="s">
        <v>907</v>
      </c>
      <c r="C48" s="4" t="s">
        <v>908</v>
      </c>
      <c r="D48" s="4">
        <v>7</v>
      </c>
      <c r="E48" s="4" t="s">
        <v>261</v>
      </c>
      <c r="F48" s="4">
        <v>7</v>
      </c>
      <c r="G48" s="4">
        <v>1</v>
      </c>
      <c r="H48" s="4">
        <v>10</v>
      </c>
      <c r="I48" s="4" t="s">
        <v>267</v>
      </c>
      <c r="J48" s="3" t="s">
        <v>909</v>
      </c>
      <c r="K48" s="4" t="s">
        <v>36</v>
      </c>
    </row>
    <row r="49" spans="1:11" x14ac:dyDescent="0.25">
      <c r="A49" s="4" t="s">
        <v>797</v>
      </c>
      <c r="B49" s="4" t="s">
        <v>910</v>
      </c>
      <c r="C49" s="4" t="s">
        <v>911</v>
      </c>
      <c r="D49" s="4">
        <v>0.01</v>
      </c>
      <c r="E49" s="4" t="s">
        <v>626</v>
      </c>
      <c r="F49" s="4">
        <v>0.01</v>
      </c>
      <c r="G49" s="4">
        <v>0</v>
      </c>
      <c r="H49" s="4">
        <v>0.03</v>
      </c>
      <c r="I49" s="4" t="s">
        <v>267</v>
      </c>
      <c r="J49" s="3" t="s">
        <v>912</v>
      </c>
      <c r="K49" s="4" t="s">
        <v>36</v>
      </c>
    </row>
    <row r="50" spans="1:11" x14ac:dyDescent="0.25">
      <c r="A50" s="4" t="s">
        <v>797</v>
      </c>
      <c r="B50" s="4" t="s">
        <v>913</v>
      </c>
      <c r="C50" s="4" t="s">
        <v>914</v>
      </c>
      <c r="D50" s="4">
        <v>12000</v>
      </c>
      <c r="E50" s="4" t="s">
        <v>628</v>
      </c>
      <c r="F50" s="4">
        <v>12000</v>
      </c>
      <c r="G50" s="4">
        <v>0</v>
      </c>
      <c r="H50" s="4" t="s">
        <v>36</v>
      </c>
      <c r="I50" s="4" t="s">
        <v>267</v>
      </c>
      <c r="J50" s="3" t="s">
        <v>915</v>
      </c>
      <c r="K50" s="4" t="s">
        <v>36</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4" customWidth="1"/>
    <col min="3" max="3" width="30" customWidth="1"/>
    <col min="4" max="4" width="20" customWidth="1"/>
    <col min="5" max="6" width="13" customWidth="1"/>
    <col min="7" max="7" width="60" customWidth="1"/>
    <col min="8" max="8" width="50" customWidth="1"/>
  </cols>
  <sheetData>
    <row r="1" spans="1:8" x14ac:dyDescent="0.25">
      <c r="A1" s="6" t="s">
        <v>291</v>
      </c>
      <c r="B1" s="6" t="s">
        <v>916</v>
      </c>
      <c r="C1" s="6" t="s">
        <v>105</v>
      </c>
      <c r="D1" s="6" t="s">
        <v>499</v>
      </c>
      <c r="E1" s="6" t="s">
        <v>917</v>
      </c>
      <c r="F1" s="6" t="s">
        <v>918</v>
      </c>
      <c r="G1" s="6" t="s">
        <v>919</v>
      </c>
      <c r="H1" s="6" t="s">
        <v>920</v>
      </c>
    </row>
    <row r="2" spans="1:8" x14ac:dyDescent="0.25">
      <c r="A2" s="3" t="s">
        <v>313</v>
      </c>
      <c r="B2" s="4" t="s">
        <v>921</v>
      </c>
      <c r="C2" s="4" t="s">
        <v>922</v>
      </c>
      <c r="D2" s="4" t="s">
        <v>504</v>
      </c>
      <c r="E2" s="4" t="s">
        <v>51</v>
      </c>
      <c r="F2" s="4" t="s">
        <v>923</v>
      </c>
      <c r="G2" s="4" t="s">
        <v>36</v>
      </c>
      <c r="H2" s="4" t="s">
        <v>924</v>
      </c>
    </row>
    <row r="3" spans="1:8" x14ac:dyDescent="0.25">
      <c r="A3" s="3" t="s">
        <v>313</v>
      </c>
      <c r="B3" s="4" t="s">
        <v>925</v>
      </c>
      <c r="C3" s="3" t="s">
        <v>313</v>
      </c>
      <c r="D3" s="4" t="s">
        <v>504</v>
      </c>
      <c r="E3" s="4" t="s">
        <v>51</v>
      </c>
      <c r="F3" s="4" t="s">
        <v>923</v>
      </c>
      <c r="G3" s="4" t="s">
        <v>36</v>
      </c>
      <c r="H3" s="4" t="s">
        <v>924</v>
      </c>
    </row>
    <row r="4" spans="1:8" x14ac:dyDescent="0.25">
      <c r="A4" s="3" t="s">
        <v>313</v>
      </c>
      <c r="B4" s="4" t="s">
        <v>926</v>
      </c>
      <c r="C4" s="4" t="s">
        <v>927</v>
      </c>
      <c r="D4" s="4" t="s">
        <v>773</v>
      </c>
      <c r="E4" s="4" t="s">
        <v>51</v>
      </c>
      <c r="F4" s="4" t="s">
        <v>928</v>
      </c>
      <c r="G4" s="4" t="s">
        <v>36</v>
      </c>
      <c r="H4" s="4" t="s">
        <v>36</v>
      </c>
    </row>
    <row r="5" spans="1:8" x14ac:dyDescent="0.25">
      <c r="A5" s="3" t="s">
        <v>313</v>
      </c>
      <c r="B5" s="4" t="s">
        <v>929</v>
      </c>
      <c r="C5" s="3" t="s">
        <v>930</v>
      </c>
      <c r="D5" s="4" t="s">
        <v>504</v>
      </c>
      <c r="E5" s="4" t="s">
        <v>51</v>
      </c>
      <c r="F5" s="4" t="s">
        <v>923</v>
      </c>
      <c r="G5" s="4" t="s">
        <v>36</v>
      </c>
      <c r="H5" s="4" t="s">
        <v>924</v>
      </c>
    </row>
    <row r="6" spans="1:8" x14ac:dyDescent="0.25">
      <c r="A6" s="3" t="s">
        <v>313</v>
      </c>
      <c r="B6" s="4" t="s">
        <v>931</v>
      </c>
      <c r="C6" s="4" t="s">
        <v>932</v>
      </c>
      <c r="D6" s="4" t="s">
        <v>508</v>
      </c>
      <c r="E6" s="4" t="s">
        <v>302</v>
      </c>
      <c r="F6" s="4" t="s">
        <v>928</v>
      </c>
      <c r="G6" s="4" t="s">
        <v>933</v>
      </c>
      <c r="H6" s="4" t="s">
        <v>36</v>
      </c>
    </row>
    <row r="7" spans="1:8" x14ac:dyDescent="0.25">
      <c r="A7" s="3" t="s">
        <v>313</v>
      </c>
      <c r="B7" s="4" t="s">
        <v>934</v>
      </c>
      <c r="C7" s="4" t="s">
        <v>935</v>
      </c>
      <c r="D7" s="4" t="s">
        <v>504</v>
      </c>
      <c r="E7" s="4" t="s">
        <v>51</v>
      </c>
      <c r="F7" s="4" t="s">
        <v>923</v>
      </c>
      <c r="G7" s="4" t="s">
        <v>36</v>
      </c>
      <c r="H7" s="4" t="s">
        <v>924</v>
      </c>
    </row>
    <row r="8" spans="1:8" x14ac:dyDescent="0.25">
      <c r="A8" s="3" t="s">
        <v>313</v>
      </c>
      <c r="B8" s="4" t="s">
        <v>936</v>
      </c>
      <c r="C8" s="4" t="s">
        <v>937</v>
      </c>
      <c r="D8" s="4" t="s">
        <v>504</v>
      </c>
      <c r="E8" s="4" t="s">
        <v>51</v>
      </c>
      <c r="F8" s="4" t="s">
        <v>923</v>
      </c>
      <c r="G8" s="4" t="s">
        <v>36</v>
      </c>
      <c r="H8" s="3" t="s">
        <v>938</v>
      </c>
    </row>
    <row r="9" spans="1:8" x14ac:dyDescent="0.25">
      <c r="A9" s="3" t="s">
        <v>313</v>
      </c>
      <c r="B9" s="4" t="s">
        <v>939</v>
      </c>
      <c r="C9" s="4" t="s">
        <v>940</v>
      </c>
      <c r="D9" s="4" t="s">
        <v>504</v>
      </c>
      <c r="E9" s="4" t="s">
        <v>51</v>
      </c>
      <c r="F9" s="4" t="s">
        <v>923</v>
      </c>
      <c r="G9" s="4" t="s">
        <v>36</v>
      </c>
      <c r="H9" s="3" t="s">
        <v>938</v>
      </c>
    </row>
    <row r="10" spans="1:8" x14ac:dyDescent="0.25">
      <c r="A10" s="3" t="s">
        <v>313</v>
      </c>
      <c r="B10" s="4" t="s">
        <v>941</v>
      </c>
      <c r="C10" s="4" t="s">
        <v>942</v>
      </c>
      <c r="D10" s="4" t="s">
        <v>504</v>
      </c>
      <c r="E10" s="4" t="s">
        <v>302</v>
      </c>
      <c r="F10" s="4" t="s">
        <v>923</v>
      </c>
      <c r="G10" s="4" t="s">
        <v>36</v>
      </c>
      <c r="H10" s="3" t="s">
        <v>938</v>
      </c>
    </row>
    <row r="11" spans="1:8" x14ac:dyDescent="0.25">
      <c r="A11" s="3" t="s">
        <v>313</v>
      </c>
      <c r="B11" s="4" t="s">
        <v>943</v>
      </c>
      <c r="C11" s="4" t="s">
        <v>944</v>
      </c>
      <c r="D11" s="4" t="s">
        <v>504</v>
      </c>
      <c r="E11" s="4" t="s">
        <v>51</v>
      </c>
      <c r="F11" s="4" t="s">
        <v>923</v>
      </c>
      <c r="G11" s="4" t="s">
        <v>36</v>
      </c>
      <c r="H11" s="3" t="s">
        <v>938</v>
      </c>
    </row>
    <row r="12" spans="1:8" x14ac:dyDescent="0.25">
      <c r="A12" s="3" t="s">
        <v>313</v>
      </c>
      <c r="B12" s="4" t="s">
        <v>945</v>
      </c>
      <c r="C12" s="4" t="s">
        <v>946</v>
      </c>
      <c r="D12" s="4" t="s">
        <v>504</v>
      </c>
      <c r="E12" s="4" t="s">
        <v>51</v>
      </c>
      <c r="F12" s="4" t="s">
        <v>923</v>
      </c>
      <c r="G12" s="4" t="s">
        <v>36</v>
      </c>
      <c r="H12" s="3" t="s">
        <v>938</v>
      </c>
    </row>
    <row r="13" spans="1:8" x14ac:dyDescent="0.25">
      <c r="A13" s="3" t="s">
        <v>313</v>
      </c>
      <c r="B13" s="4" t="s">
        <v>947</v>
      </c>
      <c r="C13" s="4" t="s">
        <v>948</v>
      </c>
      <c r="D13" s="4" t="s">
        <v>504</v>
      </c>
      <c r="E13" s="4" t="s">
        <v>51</v>
      </c>
      <c r="F13" s="4" t="s">
        <v>923</v>
      </c>
      <c r="G13" s="4" t="s">
        <v>36</v>
      </c>
      <c r="H13" s="3" t="s">
        <v>938</v>
      </c>
    </row>
    <row r="14" spans="1:8" x14ac:dyDescent="0.25">
      <c r="A14" s="3" t="s">
        <v>313</v>
      </c>
      <c r="B14" s="4" t="s">
        <v>949</v>
      </c>
      <c r="C14" s="4" t="s">
        <v>950</v>
      </c>
      <c r="D14" s="4" t="s">
        <v>504</v>
      </c>
      <c r="E14" s="4" t="s">
        <v>51</v>
      </c>
      <c r="F14" s="4" t="s">
        <v>923</v>
      </c>
      <c r="G14" s="4" t="s">
        <v>36</v>
      </c>
      <c r="H14" s="3" t="s">
        <v>938</v>
      </c>
    </row>
    <row r="15" spans="1:8" x14ac:dyDescent="0.25">
      <c r="A15" s="3" t="s">
        <v>313</v>
      </c>
      <c r="B15" s="4" t="s">
        <v>951</v>
      </c>
      <c r="C15" s="4" t="s">
        <v>952</v>
      </c>
      <c r="D15" s="4" t="s">
        <v>504</v>
      </c>
      <c r="E15" s="4" t="s">
        <v>51</v>
      </c>
      <c r="F15" s="4" t="s">
        <v>923</v>
      </c>
      <c r="G15" s="4" t="s">
        <v>36</v>
      </c>
      <c r="H15" s="3" t="s">
        <v>938</v>
      </c>
    </row>
    <row r="16" spans="1:8" x14ac:dyDescent="0.25">
      <c r="A16" s="3" t="s">
        <v>313</v>
      </c>
      <c r="B16" s="4" t="s">
        <v>953</v>
      </c>
      <c r="C16" s="4" t="s">
        <v>954</v>
      </c>
      <c r="D16" s="4" t="s">
        <v>504</v>
      </c>
      <c r="E16" s="4" t="s">
        <v>51</v>
      </c>
      <c r="F16" s="4" t="s">
        <v>923</v>
      </c>
      <c r="G16" s="4" t="s">
        <v>36</v>
      </c>
      <c r="H16" s="3" t="s">
        <v>938</v>
      </c>
    </row>
    <row r="17" spans="1:8" x14ac:dyDescent="0.25">
      <c r="A17" s="3" t="s">
        <v>313</v>
      </c>
      <c r="B17" s="4" t="s">
        <v>955</v>
      </c>
      <c r="C17" s="4" t="s">
        <v>956</v>
      </c>
      <c r="D17" s="4" t="s">
        <v>504</v>
      </c>
      <c r="E17" s="4" t="s">
        <v>51</v>
      </c>
      <c r="F17" s="4" t="s">
        <v>923</v>
      </c>
      <c r="G17" s="4" t="s">
        <v>36</v>
      </c>
      <c r="H17" s="3" t="s">
        <v>938</v>
      </c>
    </row>
    <row r="18" spans="1:8" x14ac:dyDescent="0.25">
      <c r="A18" s="3" t="s">
        <v>313</v>
      </c>
      <c r="B18" s="4" t="s">
        <v>957</v>
      </c>
      <c r="C18" s="4" t="s">
        <v>958</v>
      </c>
      <c r="D18" s="4" t="s">
        <v>504</v>
      </c>
      <c r="E18" s="4" t="s">
        <v>51</v>
      </c>
      <c r="F18" s="4" t="s">
        <v>923</v>
      </c>
      <c r="G18" s="4" t="s">
        <v>36</v>
      </c>
      <c r="H18" s="3" t="s">
        <v>938</v>
      </c>
    </row>
    <row r="19" spans="1:8" x14ac:dyDescent="0.25">
      <c r="A19" s="3" t="s">
        <v>313</v>
      </c>
      <c r="B19" s="4" t="s">
        <v>959</v>
      </c>
      <c r="C19" s="3" t="s">
        <v>960</v>
      </c>
      <c r="D19" s="4" t="s">
        <v>508</v>
      </c>
      <c r="E19" s="4" t="s">
        <v>302</v>
      </c>
      <c r="F19" s="4" t="s">
        <v>928</v>
      </c>
      <c r="G19" s="4" t="s">
        <v>961</v>
      </c>
      <c r="H19" s="4" t="s">
        <v>36</v>
      </c>
    </row>
    <row r="20" spans="1:8" x14ac:dyDescent="0.25">
      <c r="A20" s="3" t="s">
        <v>313</v>
      </c>
      <c r="B20" s="4" t="s">
        <v>962</v>
      </c>
      <c r="C20" s="4" t="s">
        <v>963</v>
      </c>
      <c r="D20" s="4" t="s">
        <v>508</v>
      </c>
      <c r="E20" s="4" t="s">
        <v>302</v>
      </c>
      <c r="F20" s="4" t="s">
        <v>928</v>
      </c>
      <c r="G20" s="4" t="s">
        <v>933</v>
      </c>
      <c r="H20" s="4" t="s">
        <v>36</v>
      </c>
    </row>
    <row r="21" spans="1:8" x14ac:dyDescent="0.25">
      <c r="A21" s="3" t="s">
        <v>313</v>
      </c>
      <c r="B21" s="4" t="s">
        <v>964</v>
      </c>
      <c r="C21" s="4" t="s">
        <v>965</v>
      </c>
      <c r="D21" s="4" t="s">
        <v>504</v>
      </c>
      <c r="E21" s="4" t="s">
        <v>51</v>
      </c>
      <c r="F21" s="4" t="s">
        <v>923</v>
      </c>
      <c r="G21" s="4" t="s">
        <v>36</v>
      </c>
      <c r="H21" s="3" t="s">
        <v>938</v>
      </c>
    </row>
    <row r="22" spans="1:8" x14ac:dyDescent="0.25">
      <c r="A22" s="3" t="s">
        <v>313</v>
      </c>
      <c r="B22" s="4" t="s">
        <v>966</v>
      </c>
      <c r="C22" s="3" t="s">
        <v>967</v>
      </c>
      <c r="D22" s="4" t="s">
        <v>508</v>
      </c>
      <c r="E22" s="4" t="s">
        <v>302</v>
      </c>
      <c r="F22" s="4" t="s">
        <v>928</v>
      </c>
      <c r="G22" s="4" t="s">
        <v>933</v>
      </c>
      <c r="H22" s="4" t="s">
        <v>36</v>
      </c>
    </row>
    <row r="23" spans="1:8" x14ac:dyDescent="0.25">
      <c r="A23" s="3" t="s">
        <v>313</v>
      </c>
      <c r="B23" s="4" t="s">
        <v>968</v>
      </c>
      <c r="C23" s="3" t="s">
        <v>967</v>
      </c>
      <c r="D23" s="4" t="s">
        <v>508</v>
      </c>
      <c r="E23" s="4" t="s">
        <v>302</v>
      </c>
      <c r="F23" s="4" t="s">
        <v>928</v>
      </c>
      <c r="G23" s="4" t="s">
        <v>933</v>
      </c>
      <c r="H23" s="4" t="s">
        <v>36</v>
      </c>
    </row>
    <row r="24" spans="1:8" x14ac:dyDescent="0.25">
      <c r="A24" s="3" t="s">
        <v>313</v>
      </c>
      <c r="B24" s="4" t="s">
        <v>969</v>
      </c>
      <c r="C24" s="4" t="s">
        <v>970</v>
      </c>
      <c r="D24" s="4" t="s">
        <v>504</v>
      </c>
      <c r="E24" s="4" t="s">
        <v>302</v>
      </c>
      <c r="F24" s="4" t="s">
        <v>923</v>
      </c>
      <c r="G24" s="4" t="s">
        <v>36</v>
      </c>
      <c r="H24" s="4" t="s">
        <v>924</v>
      </c>
    </row>
    <row r="25" spans="1:8" x14ac:dyDescent="0.25">
      <c r="A25" s="3" t="s">
        <v>313</v>
      </c>
      <c r="B25" s="4" t="s">
        <v>971</v>
      </c>
      <c r="C25" s="4" t="s">
        <v>972</v>
      </c>
      <c r="D25" s="4" t="s">
        <v>508</v>
      </c>
      <c r="E25" s="4" t="s">
        <v>51</v>
      </c>
      <c r="F25" s="4" t="s">
        <v>928</v>
      </c>
      <c r="G25" s="4" t="s">
        <v>973</v>
      </c>
      <c r="H25" s="4" t="s">
        <v>36</v>
      </c>
    </row>
    <row r="26" spans="1:8" x14ac:dyDescent="0.25">
      <c r="A26" s="3" t="s">
        <v>313</v>
      </c>
      <c r="B26" s="4" t="s">
        <v>974</v>
      </c>
      <c r="C26" s="4" t="s">
        <v>975</v>
      </c>
      <c r="D26" s="4" t="s">
        <v>508</v>
      </c>
      <c r="E26" s="4" t="s">
        <v>51</v>
      </c>
      <c r="F26" s="4" t="s">
        <v>928</v>
      </c>
      <c r="G26" s="4" t="s">
        <v>976</v>
      </c>
      <c r="H26" s="4" t="s">
        <v>36</v>
      </c>
    </row>
    <row r="27" spans="1:8" x14ac:dyDescent="0.25">
      <c r="A27" s="3" t="s">
        <v>313</v>
      </c>
      <c r="B27" s="4" t="s">
        <v>536</v>
      </c>
      <c r="C27" s="4" t="s">
        <v>977</v>
      </c>
      <c r="D27" s="4" t="s">
        <v>508</v>
      </c>
      <c r="E27" s="4" t="s">
        <v>302</v>
      </c>
      <c r="F27" s="4" t="s">
        <v>928</v>
      </c>
      <c r="G27" s="4" t="s">
        <v>976</v>
      </c>
      <c r="H27" s="4" t="s">
        <v>36</v>
      </c>
    </row>
    <row r="28" spans="1:8" x14ac:dyDescent="0.25">
      <c r="A28" s="3" t="s">
        <v>313</v>
      </c>
      <c r="B28" s="4" t="s">
        <v>978</v>
      </c>
      <c r="C28" s="4" t="s">
        <v>979</v>
      </c>
      <c r="D28" s="4" t="s">
        <v>508</v>
      </c>
      <c r="E28" s="4" t="s">
        <v>302</v>
      </c>
      <c r="F28" s="4" t="s">
        <v>928</v>
      </c>
      <c r="G28" s="4" t="s">
        <v>933</v>
      </c>
      <c r="H28" s="4" t="s">
        <v>36</v>
      </c>
    </row>
    <row r="29" spans="1:8" x14ac:dyDescent="0.25">
      <c r="A29" s="3" t="s">
        <v>313</v>
      </c>
      <c r="B29" s="4" t="s">
        <v>632</v>
      </c>
      <c r="C29" s="4" t="s">
        <v>980</v>
      </c>
      <c r="D29" s="4" t="s">
        <v>508</v>
      </c>
      <c r="E29" s="4" t="s">
        <v>51</v>
      </c>
      <c r="F29" s="4" t="s">
        <v>928</v>
      </c>
      <c r="G29" s="4" t="s">
        <v>981</v>
      </c>
      <c r="H29" s="4" t="s">
        <v>36</v>
      </c>
    </row>
    <row r="30" spans="1:8" x14ac:dyDescent="0.25">
      <c r="A30" s="3" t="s">
        <v>313</v>
      </c>
      <c r="B30" s="4" t="s">
        <v>896</v>
      </c>
      <c r="C30" s="3" t="s">
        <v>982</v>
      </c>
      <c r="D30" s="4" t="s">
        <v>508</v>
      </c>
      <c r="E30" s="4" t="s">
        <v>51</v>
      </c>
      <c r="F30" s="4" t="s">
        <v>928</v>
      </c>
      <c r="G30" s="4" t="s">
        <v>983</v>
      </c>
      <c r="H30" s="4" t="s">
        <v>36</v>
      </c>
    </row>
    <row r="31" spans="1:8" x14ac:dyDescent="0.25">
      <c r="A31" s="3" t="s">
        <v>313</v>
      </c>
      <c r="B31" s="4" t="s">
        <v>984</v>
      </c>
      <c r="C31" s="3" t="s">
        <v>985</v>
      </c>
      <c r="D31" s="4" t="s">
        <v>773</v>
      </c>
      <c r="E31" s="4" t="s">
        <v>51</v>
      </c>
      <c r="F31" s="4" t="s">
        <v>928</v>
      </c>
      <c r="G31" s="4" t="s">
        <v>36</v>
      </c>
      <c r="H31" s="4" t="s">
        <v>36</v>
      </c>
    </row>
    <row r="32" spans="1:8" x14ac:dyDescent="0.25">
      <c r="A32" s="3" t="s">
        <v>313</v>
      </c>
      <c r="B32" s="4" t="s">
        <v>986</v>
      </c>
      <c r="C32" s="3" t="s">
        <v>987</v>
      </c>
      <c r="D32" s="4" t="s">
        <v>504</v>
      </c>
      <c r="E32" s="4" t="s">
        <v>51</v>
      </c>
      <c r="F32" s="4" t="s">
        <v>923</v>
      </c>
      <c r="G32" s="4" t="s">
        <v>36</v>
      </c>
      <c r="H32" s="4" t="s">
        <v>924</v>
      </c>
    </row>
    <row r="33" spans="1:8" x14ac:dyDescent="0.25">
      <c r="A33" s="3" t="s">
        <v>313</v>
      </c>
      <c r="B33" s="4" t="s">
        <v>988</v>
      </c>
      <c r="C33" s="3" t="s">
        <v>933</v>
      </c>
      <c r="D33" s="4" t="s">
        <v>275</v>
      </c>
      <c r="E33" s="4" t="s">
        <v>51</v>
      </c>
      <c r="F33" s="4" t="s">
        <v>928</v>
      </c>
      <c r="G33" s="4" t="s">
        <v>933</v>
      </c>
      <c r="H33" s="4" t="s">
        <v>36</v>
      </c>
    </row>
    <row r="34" spans="1:8" x14ac:dyDescent="0.25">
      <c r="A34" s="3" t="s">
        <v>313</v>
      </c>
      <c r="B34" s="4" t="s">
        <v>989</v>
      </c>
      <c r="C34" s="4" t="s">
        <v>928</v>
      </c>
      <c r="D34" s="4" t="s">
        <v>275</v>
      </c>
      <c r="E34" s="4" t="s">
        <v>51</v>
      </c>
      <c r="F34" s="4" t="s">
        <v>928</v>
      </c>
      <c r="G34" s="4" t="s">
        <v>36</v>
      </c>
      <c r="H34" s="4" t="s">
        <v>36</v>
      </c>
    </row>
    <row r="35" spans="1:8" x14ac:dyDescent="0.25">
      <c r="A35" s="3" t="s">
        <v>313</v>
      </c>
      <c r="B35" s="4" t="s">
        <v>990</v>
      </c>
      <c r="C35" s="3" t="s">
        <v>991</v>
      </c>
      <c r="D35" s="4" t="s">
        <v>275</v>
      </c>
      <c r="E35" s="4" t="s">
        <v>51</v>
      </c>
      <c r="F35" s="4" t="s">
        <v>928</v>
      </c>
      <c r="G35" s="4" t="s">
        <v>36</v>
      </c>
      <c r="H35" s="4" t="s">
        <v>36</v>
      </c>
    </row>
    <row r="37" spans="1:1" x14ac:dyDescent="0.25">
      <c r="A37" s="4" t="s">
        <v>992</v>
      </c>
    </row>
  </sheetData>
  <hyperlinks>
    <hyperlink ref="G6" r:id="rId1"/>
    <hyperlink ref="G19" r:id="rId2"/>
    <hyperlink ref="G20" r:id="rId3"/>
    <hyperlink ref="G22" r:id="rId4"/>
    <hyperlink ref="G23" r:id="rId5"/>
    <hyperlink ref="G25" r:id="rId6"/>
    <hyperlink ref="G26" r:id="rId7"/>
    <hyperlink ref="G27" r:id="rId8"/>
    <hyperlink ref="G28" r:id="rId9"/>
    <hyperlink ref="G29" r:id="rId10"/>
    <hyperlink ref="G30" r:id="rId11"/>
    <hyperlink ref="G33" r:id="rId1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6" customWidth="1"/>
    <col min="3" max="3" width="28" customWidth="1"/>
    <col min="4" max="4" width="40" customWidth="1"/>
    <col min="5" max="7" width="16" customWidth="1"/>
    <col min="8" max="8" width="10" customWidth="1"/>
    <col min="9" max="9" width="40" customWidth="1"/>
  </cols>
  <sheetData>
    <row r="1" spans="1:9" x14ac:dyDescent="0.25">
      <c r="A1" s="6" t="s">
        <v>918</v>
      </c>
      <c r="B1" s="6" t="s">
        <v>993</v>
      </c>
      <c r="C1" s="6" t="s">
        <v>58</v>
      </c>
      <c r="D1" s="6" t="s">
        <v>994</v>
      </c>
      <c r="E1" s="6" t="s">
        <v>995</v>
      </c>
      <c r="F1" s="6" t="s">
        <v>996</v>
      </c>
      <c r="G1" s="6" t="s">
        <v>997</v>
      </c>
      <c r="H1" s="6" t="s">
        <v>106</v>
      </c>
      <c r="I1" s="6" t="s">
        <v>998</v>
      </c>
    </row>
    <row r="2" spans="1:1" x14ac:dyDescent="0.25">
      <c r="A2" s="4" t="s">
        <v>999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FormatPr defaultRowHeight="15" outlineLevelRow="0" outlineLevelCol="0" x14ac:dyDescent="55"/>
  <cols>
    <col min="1" max="1" width="44" customWidth="1"/>
    <col min="2" max="2" width="90" customWidth="1"/>
    <col min="3" max="3" width="18" customWidth="1"/>
    <col min="4" max="4" width="16" customWidth="1"/>
  </cols>
  <sheetData>
    <row r="1" spans="1:1" x14ac:dyDescent="0.25">
      <c r="A1" s="1" t="s">
        <v>1000</v>
      </c>
    </row>
    <row r="3" spans="1:1" x14ac:dyDescent="0.25">
      <c r="A3" s="5" t="s">
        <v>1001</v>
      </c>
    </row>
    <row r="4" spans="1:2" x14ac:dyDescent="0.25">
      <c r="A4" s="4" t="s">
        <v>5</v>
      </c>
      <c r="B4" s="4" t="s">
        <v>6</v>
      </c>
    </row>
    <row r="5" spans="1:2" x14ac:dyDescent="0.25">
      <c r="A5" s="4" t="s">
        <v>7</v>
      </c>
      <c r="B5" s="4" t="s">
        <v>8</v>
      </c>
    </row>
    <row r="6" spans="1:2" x14ac:dyDescent="0.25">
      <c r="A6" s="4" t="s">
        <v>9</v>
      </c>
      <c r="B6" s="4" t="s">
        <v>10</v>
      </c>
    </row>
    <row r="7" spans="1:2" x14ac:dyDescent="0.25">
      <c r="A7" s="3" t="s">
        <v>1002</v>
      </c>
      <c r="B7" s="4" t="s">
        <v>12</v>
      </c>
    </row>
    <row r="8" spans="1:2" x14ac:dyDescent="0.25">
      <c r="A8" s="4" t="s">
        <v>1003</v>
      </c>
      <c r="B8" s="4" t="s">
        <v>1004</v>
      </c>
    </row>
    <row r="9" spans="1:2" x14ac:dyDescent="0.25">
      <c r="A9" s="4" t="s">
        <v>1005</v>
      </c>
      <c r="B9" s="4" t="s">
        <v>1006</v>
      </c>
    </row>
    <row r="10" spans="1:2" x14ac:dyDescent="0.25">
      <c r="A10" s="4" t="s">
        <v>1007</v>
      </c>
      <c r="B10" s="4" t="s">
        <v>1008</v>
      </c>
    </row>
    <row r="11" spans="1:2" x14ac:dyDescent="0.25">
      <c r="A11" s="4" t="s">
        <v>1009</v>
      </c>
      <c r="B11" s="3" t="s">
        <v>1010</v>
      </c>
    </row>
    <row r="13" spans="1:1" x14ac:dyDescent="0.25">
      <c r="A13" s="5" t="s">
        <v>1011</v>
      </c>
    </row>
    <row r="14" spans="1:2" x14ac:dyDescent="0.25">
      <c r="A14" s="4" t="s">
        <v>116</v>
      </c>
      <c r="B14" s="3" t="s">
        <v>1012</v>
      </c>
    </row>
    <row r="15" spans="1:2" x14ac:dyDescent="0.25">
      <c r="A15" s="4" t="s">
        <v>116</v>
      </c>
      <c r="B15" s="3" t="s">
        <v>1013</v>
      </c>
    </row>
    <row r="16" spans="1:2" x14ac:dyDescent="0.25">
      <c r="A16" s="4" t="s">
        <v>116</v>
      </c>
      <c r="B16" s="3" t="s">
        <v>1014</v>
      </c>
    </row>
    <row r="17" spans="1:2" x14ac:dyDescent="0.25">
      <c r="A17" s="4" t="s">
        <v>116</v>
      </c>
      <c r="B17" s="3" t="s">
        <v>1015</v>
      </c>
    </row>
    <row r="19" spans="1:1" x14ac:dyDescent="0.25">
      <c r="A19" s="5" t="s">
        <v>1016</v>
      </c>
    </row>
    <row r="20" spans="1:4" x14ac:dyDescent="0.25">
      <c r="A20" s="6" t="s">
        <v>25</v>
      </c>
      <c r="B20" s="6" t="s">
        <v>497</v>
      </c>
      <c r="C20" s="6" t="s">
        <v>1017</v>
      </c>
      <c r="D20" s="6" t="s">
        <v>1018</v>
      </c>
    </row>
    <row r="21" spans="1:4" x14ac:dyDescent="0.25">
      <c r="A21" s="4" t="s">
        <v>1019</v>
      </c>
      <c r="B21" s="3" t="s">
        <v>1020</v>
      </c>
      <c r="C21" s="4" t="s">
        <v>1021</v>
      </c>
      <c r="D21" s="4" t="s">
        <v>1022</v>
      </c>
    </row>
    <row r="22" spans="1:4" x14ac:dyDescent="0.25">
      <c r="A22" s="4" t="s">
        <v>1023</v>
      </c>
      <c r="B22" s="3" t="s">
        <v>1024</v>
      </c>
      <c r="C22" s="4" t="s">
        <v>1025</v>
      </c>
      <c r="D22" s="4" t="s">
        <v>1026</v>
      </c>
    </row>
    <row r="23" spans="1:4" x14ac:dyDescent="0.25">
      <c r="A23" s="4" t="s">
        <v>1027</v>
      </c>
      <c r="B23" s="3" t="s">
        <v>1028</v>
      </c>
      <c r="C23" s="4" t="s">
        <v>1029</v>
      </c>
      <c r="D23" s="4" t="s">
        <v>1022</v>
      </c>
    </row>
    <row r="24" spans="1:4" x14ac:dyDescent="0.25">
      <c r="A24" s="4" t="s">
        <v>1030</v>
      </c>
      <c r="B24" s="3" t="s">
        <v>1031</v>
      </c>
      <c r="C24" s="4" t="s">
        <v>1029</v>
      </c>
      <c r="D24" s="4" t="s">
        <v>1026</v>
      </c>
    </row>
    <row r="25" spans="1:4" x14ac:dyDescent="0.25">
      <c r="A25" s="3" t="s">
        <v>1032</v>
      </c>
      <c r="B25" s="3" t="s">
        <v>1033</v>
      </c>
      <c r="C25" s="4" t="s">
        <v>1034</v>
      </c>
      <c r="D25" s="4" t="s">
        <v>1026</v>
      </c>
    </row>
    <row r="26" spans="1:4" x14ac:dyDescent="0.25">
      <c r="A26" s="4" t="s">
        <v>1035</v>
      </c>
      <c r="B26" s="3" t="s">
        <v>1036</v>
      </c>
      <c r="C26" s="4" t="s">
        <v>1029</v>
      </c>
      <c r="D26" s="4" t="s">
        <v>1026</v>
      </c>
    </row>
    <row r="27" spans="1:4" x14ac:dyDescent="0.25">
      <c r="A27" s="4" t="s">
        <v>1037</v>
      </c>
      <c r="B27" s="3" t="s">
        <v>1038</v>
      </c>
      <c r="C27" s="4" t="s">
        <v>125</v>
      </c>
      <c r="D27" s="4" t="s">
        <v>1039</v>
      </c>
    </row>
    <row r="28" spans="1:4" x14ac:dyDescent="0.25">
      <c r="A28" s="3" t="s">
        <v>1040</v>
      </c>
      <c r="B28" s="3" t="s">
        <v>1041</v>
      </c>
      <c r="C28" s="4" t="s">
        <v>617</v>
      </c>
      <c r="D28" s="4" t="s">
        <v>1026</v>
      </c>
    </row>
    <row r="29" spans="1:4" x14ac:dyDescent="0.25">
      <c r="A29" s="4" t="s">
        <v>1042</v>
      </c>
      <c r="B29" s="3" t="s">
        <v>1043</v>
      </c>
      <c r="C29" s="4" t="s">
        <v>125</v>
      </c>
      <c r="D29" s="4" t="s">
        <v>1026</v>
      </c>
    </row>
    <row r="30" spans="1:4" x14ac:dyDescent="0.25">
      <c r="A30" s="4" t="s">
        <v>1044</v>
      </c>
      <c r="B30" s="3" t="s">
        <v>1045</v>
      </c>
      <c r="C30" s="4" t="s">
        <v>628</v>
      </c>
      <c r="D30" s="4" t="s">
        <v>1022</v>
      </c>
    </row>
    <row r="31" spans="1:4" x14ac:dyDescent="0.25">
      <c r="A31" s="4" t="s">
        <v>1046</v>
      </c>
      <c r="B31" s="3" t="s">
        <v>1047</v>
      </c>
      <c r="C31" s="4" t="s">
        <v>628</v>
      </c>
      <c r="D31" s="4" t="s">
        <v>1039</v>
      </c>
    </row>
    <row r="32" spans="1:4" x14ac:dyDescent="0.25">
      <c r="A32" s="4" t="s">
        <v>1048</v>
      </c>
      <c r="B32" s="3" t="s">
        <v>1049</v>
      </c>
      <c r="C32" s="4" t="s">
        <v>1050</v>
      </c>
      <c r="D32" s="4" t="s">
        <v>1026</v>
      </c>
    </row>
    <row r="33" spans="1:4" x14ac:dyDescent="0.25">
      <c r="A33" s="4" t="s">
        <v>561</v>
      </c>
      <c r="B33" s="3" t="s">
        <v>1051</v>
      </c>
      <c r="C33" s="4" t="s">
        <v>628</v>
      </c>
      <c r="D33" s="4" t="s">
        <v>1039</v>
      </c>
    </row>
    <row r="34" spans="1:4" x14ac:dyDescent="0.25">
      <c r="A34" s="4" t="s">
        <v>558</v>
      </c>
      <c r="B34" s="3" t="s">
        <v>1052</v>
      </c>
      <c r="C34" s="4" t="s">
        <v>628</v>
      </c>
      <c r="D34" s="4" t="s">
        <v>1026</v>
      </c>
    </row>
    <row r="35" spans="1:4" x14ac:dyDescent="0.25">
      <c r="A35" s="4" t="s">
        <v>501</v>
      </c>
      <c r="B35" s="3" t="s">
        <v>502</v>
      </c>
      <c r="C35" s="4" t="s">
        <v>624</v>
      </c>
      <c r="D35" s="4" t="s">
        <v>1039</v>
      </c>
    </row>
    <row r="36" spans="1:4" x14ac:dyDescent="0.25">
      <c r="A36" s="4" t="s">
        <v>505</v>
      </c>
      <c r="B36" s="3" t="s">
        <v>506</v>
      </c>
      <c r="C36" s="4" t="s">
        <v>624</v>
      </c>
      <c r="D36" s="4" t="s">
        <v>1039</v>
      </c>
    </row>
    <row r="37" spans="1:4" x14ac:dyDescent="0.25">
      <c r="A37" s="3" t="s">
        <v>509</v>
      </c>
      <c r="B37" s="3" t="s">
        <v>510</v>
      </c>
      <c r="C37" s="4" t="s">
        <v>624</v>
      </c>
      <c r="D37" s="4" t="s">
        <v>1039</v>
      </c>
    </row>
    <row r="38" spans="1:4" x14ac:dyDescent="0.25">
      <c r="A38" s="4" t="s">
        <v>512</v>
      </c>
      <c r="B38" s="3" t="s">
        <v>513</v>
      </c>
      <c r="C38" s="4" t="s">
        <v>624</v>
      </c>
      <c r="D38" s="4" t="s">
        <v>1039</v>
      </c>
    </row>
    <row r="39" spans="1:4" x14ac:dyDescent="0.25">
      <c r="A39" s="4" t="s">
        <v>515</v>
      </c>
      <c r="B39" s="3" t="s">
        <v>516</v>
      </c>
      <c r="C39" s="4" t="s">
        <v>624</v>
      </c>
      <c r="D39" s="4" t="s">
        <v>1039</v>
      </c>
    </row>
    <row r="40" spans="1:4" x14ac:dyDescent="0.25">
      <c r="A40" s="4" t="s">
        <v>518</v>
      </c>
      <c r="B40" s="3" t="s">
        <v>519</v>
      </c>
      <c r="C40" s="4" t="s">
        <v>624</v>
      </c>
      <c r="D40" s="4" t="s">
        <v>1039</v>
      </c>
    </row>
    <row r="41" spans="1:4" x14ac:dyDescent="0.25">
      <c r="A41" s="4" t="s">
        <v>522</v>
      </c>
      <c r="B41" s="3" t="s">
        <v>523</v>
      </c>
      <c r="C41" s="4" t="s">
        <v>624</v>
      </c>
      <c r="D41" s="4" t="s">
        <v>1039</v>
      </c>
    </row>
    <row r="42" spans="1:4" x14ac:dyDescent="0.25">
      <c r="A42" s="4" t="s">
        <v>1053</v>
      </c>
      <c r="B42" s="3" t="s">
        <v>1054</v>
      </c>
      <c r="C42" s="4" t="s">
        <v>624</v>
      </c>
      <c r="D42" s="4" t="s">
        <v>1026</v>
      </c>
    </row>
    <row r="43" spans="1:4" x14ac:dyDescent="0.25">
      <c r="A43" s="4" t="s">
        <v>1055</v>
      </c>
      <c r="B43" s="3" t="s">
        <v>1056</v>
      </c>
      <c r="C43" s="4" t="s">
        <v>624</v>
      </c>
      <c r="D43" s="4" t="s">
        <v>1026</v>
      </c>
    </row>
    <row r="44" spans="1:4" x14ac:dyDescent="0.25">
      <c r="A44" s="4" t="s">
        <v>1057</v>
      </c>
      <c r="B44" s="3" t="s">
        <v>1058</v>
      </c>
      <c r="C44" s="4" t="s">
        <v>624</v>
      </c>
      <c r="D44" s="4" t="s">
        <v>1026</v>
      </c>
    </row>
    <row r="45" spans="1:4" x14ac:dyDescent="0.25">
      <c r="A45" s="4" t="s">
        <v>1059</v>
      </c>
      <c r="B45" s="3" t="s">
        <v>526</v>
      </c>
      <c r="C45" s="4" t="s">
        <v>624</v>
      </c>
      <c r="D45" s="4" t="s">
        <v>1022</v>
      </c>
    </row>
    <row r="46" spans="1:4" x14ac:dyDescent="0.25">
      <c r="A46" s="4" t="s">
        <v>32</v>
      </c>
      <c r="B46" s="3" t="s">
        <v>1060</v>
      </c>
      <c r="C46" s="4" t="s">
        <v>624</v>
      </c>
      <c r="D46" s="4" t="s">
        <v>1039</v>
      </c>
    </row>
    <row r="47" spans="1:4" x14ac:dyDescent="0.25">
      <c r="A47" s="4" t="s">
        <v>565</v>
      </c>
      <c r="B47" s="3" t="s">
        <v>566</v>
      </c>
      <c r="C47" s="4" t="s">
        <v>628</v>
      </c>
      <c r="D47" s="4" t="s">
        <v>1039</v>
      </c>
    </row>
    <row r="48" spans="1:4" x14ac:dyDescent="0.25">
      <c r="A48" s="4" t="s">
        <v>536</v>
      </c>
      <c r="B48" s="3" t="s">
        <v>537</v>
      </c>
      <c r="C48" s="4" t="s">
        <v>628</v>
      </c>
      <c r="D48" s="4" t="s">
        <v>1039</v>
      </c>
    </row>
    <row r="49" spans="1:4" x14ac:dyDescent="0.25">
      <c r="A49" s="4" t="s">
        <v>1061</v>
      </c>
      <c r="B49" s="3" t="s">
        <v>1062</v>
      </c>
      <c r="C49" s="4" t="s">
        <v>628</v>
      </c>
      <c r="D49" s="4" t="s">
        <v>1026</v>
      </c>
    </row>
    <row r="50" spans="1:4" x14ac:dyDescent="0.25">
      <c r="A50" s="4" t="s">
        <v>539</v>
      </c>
      <c r="B50" s="3" t="s">
        <v>540</v>
      </c>
      <c r="C50" s="4" t="s">
        <v>628</v>
      </c>
      <c r="D50" s="4" t="s">
        <v>1039</v>
      </c>
    </row>
    <row r="51" spans="1:4" x14ac:dyDescent="0.25">
      <c r="A51" s="4" t="s">
        <v>543</v>
      </c>
      <c r="B51" s="3" t="s">
        <v>544</v>
      </c>
      <c r="C51" s="4" t="s">
        <v>628</v>
      </c>
      <c r="D51" s="4" t="s">
        <v>1039</v>
      </c>
    </row>
    <row r="52" spans="1:4" x14ac:dyDescent="0.25">
      <c r="A52" s="4" t="s">
        <v>546</v>
      </c>
      <c r="B52" s="3" t="s">
        <v>547</v>
      </c>
      <c r="C52" s="4" t="s">
        <v>628</v>
      </c>
      <c r="D52" s="4" t="s">
        <v>1039</v>
      </c>
    </row>
    <row r="53" spans="1:4" x14ac:dyDescent="0.25">
      <c r="A53" s="4" t="s">
        <v>549</v>
      </c>
      <c r="B53" s="3" t="s">
        <v>550</v>
      </c>
      <c r="C53" s="4" t="s">
        <v>628</v>
      </c>
      <c r="D53" s="4" t="s">
        <v>1022</v>
      </c>
    </row>
    <row r="54" spans="1:4" x14ac:dyDescent="0.25">
      <c r="A54" s="4" t="s">
        <v>552</v>
      </c>
      <c r="B54" s="3" t="s">
        <v>553</v>
      </c>
      <c r="C54" s="4" t="s">
        <v>628</v>
      </c>
      <c r="D54" s="4" t="s">
        <v>1039</v>
      </c>
    </row>
    <row r="55" spans="1:4" x14ac:dyDescent="0.25">
      <c r="A55" s="4" t="s">
        <v>555</v>
      </c>
      <c r="B55" s="3" t="s">
        <v>556</v>
      </c>
      <c r="C55" s="4" t="s">
        <v>628</v>
      </c>
      <c r="D55" s="4" t="s">
        <v>1022</v>
      </c>
    </row>
    <row r="56" spans="1:4" x14ac:dyDescent="0.25">
      <c r="A56" s="4" t="s">
        <v>558</v>
      </c>
      <c r="B56" s="3" t="s">
        <v>559</v>
      </c>
      <c r="C56" s="4" t="s">
        <v>628</v>
      </c>
      <c r="D56" s="4" t="s">
        <v>1039</v>
      </c>
    </row>
    <row r="57" spans="1:4" x14ac:dyDescent="0.25">
      <c r="A57" s="4" t="s">
        <v>561</v>
      </c>
      <c r="B57" s="3" t="s">
        <v>1063</v>
      </c>
      <c r="C57" s="4" t="s">
        <v>628</v>
      </c>
      <c r="D57" s="4" t="s">
        <v>1039</v>
      </c>
    </row>
    <row r="58" spans="1:4" x14ac:dyDescent="0.25">
      <c r="A58" s="3" t="s">
        <v>1064</v>
      </c>
      <c r="B58" s="3" t="s">
        <v>1065</v>
      </c>
      <c r="C58" s="4" t="s">
        <v>628</v>
      </c>
      <c r="D58" s="4" t="s">
        <v>1026</v>
      </c>
    </row>
    <row r="59" spans="1:4" x14ac:dyDescent="0.25">
      <c r="A59" s="4" t="s">
        <v>532</v>
      </c>
      <c r="B59" s="3" t="s">
        <v>533</v>
      </c>
      <c r="C59" s="4" t="s">
        <v>628</v>
      </c>
      <c r="D59" s="4" t="s">
        <v>1039</v>
      </c>
    </row>
    <row r="60" spans="1:4" x14ac:dyDescent="0.25">
      <c r="A60" s="4" t="s">
        <v>1066</v>
      </c>
      <c r="B60" s="3" t="s">
        <v>1067</v>
      </c>
      <c r="C60" s="4" t="s">
        <v>628</v>
      </c>
      <c r="D60" s="4" t="s">
        <v>1039</v>
      </c>
    </row>
    <row r="61" spans="1:4" x14ac:dyDescent="0.25">
      <c r="A61" s="4" t="s">
        <v>1068</v>
      </c>
      <c r="B61" s="3" t="s">
        <v>1069</v>
      </c>
      <c r="C61" s="4" t="s">
        <v>628</v>
      </c>
      <c r="D61" s="4" t="s">
        <v>1039</v>
      </c>
    </row>
    <row r="62" spans="1:4" x14ac:dyDescent="0.25">
      <c r="A62" s="4" t="s">
        <v>1070</v>
      </c>
      <c r="B62" s="3" t="s">
        <v>1071</v>
      </c>
      <c r="C62" s="4" t="s">
        <v>261</v>
      </c>
      <c r="D62" s="4" t="s">
        <v>1039</v>
      </c>
    </row>
    <row r="63" spans="1:4" x14ac:dyDescent="0.25">
      <c r="A63" s="4" t="s">
        <v>42</v>
      </c>
      <c r="B63" s="3" t="s">
        <v>1072</v>
      </c>
      <c r="C63" s="4" t="s">
        <v>172</v>
      </c>
      <c r="D63" s="4" t="s">
        <v>1039</v>
      </c>
    </row>
    <row r="64" spans="1:4" x14ac:dyDescent="0.25">
      <c r="A64" s="4" t="s">
        <v>43</v>
      </c>
      <c r="B64" s="3" t="s">
        <v>1073</v>
      </c>
      <c r="C64" s="4" t="s">
        <v>172</v>
      </c>
      <c r="D64" s="4" t="s">
        <v>1026</v>
      </c>
    </row>
    <row r="65" spans="1:4" x14ac:dyDescent="0.25">
      <c r="A65" s="4" t="s">
        <v>1074</v>
      </c>
      <c r="B65" s="3" t="s">
        <v>1075</v>
      </c>
      <c r="C65" s="4" t="s">
        <v>624</v>
      </c>
      <c r="D65" s="4" t="s">
        <v>1026</v>
      </c>
    </row>
    <row r="66" spans="1:4" x14ac:dyDescent="0.25">
      <c r="A66" s="4" t="s">
        <v>1076</v>
      </c>
      <c r="B66" s="3" t="s">
        <v>1077</v>
      </c>
      <c r="C66" s="4" t="s">
        <v>261</v>
      </c>
      <c r="D66" s="4" t="s">
        <v>1026</v>
      </c>
    </row>
    <row r="67" spans="1:4" x14ac:dyDescent="0.25">
      <c r="A67" s="4" t="s">
        <v>1078</v>
      </c>
      <c r="B67" s="3" t="s">
        <v>1079</v>
      </c>
      <c r="C67" s="4" t="s">
        <v>624</v>
      </c>
      <c r="D67" s="4" t="s">
        <v>1039</v>
      </c>
    </row>
    <row r="68" spans="1:4" x14ac:dyDescent="0.25">
      <c r="A68" s="4" t="s">
        <v>1080</v>
      </c>
      <c r="B68" s="3" t="s">
        <v>1081</v>
      </c>
      <c r="C68" s="4" t="s">
        <v>624</v>
      </c>
      <c r="D68" s="4" t="s">
        <v>1026</v>
      </c>
    </row>
    <row r="69" spans="1:4" x14ac:dyDescent="0.25">
      <c r="A69" s="4" t="s">
        <v>1082</v>
      </c>
      <c r="B69" s="3" t="s">
        <v>1083</v>
      </c>
      <c r="C69" s="4" t="s">
        <v>624</v>
      </c>
      <c r="D69" s="4" t="s">
        <v>1022</v>
      </c>
    </row>
    <row r="70" spans="1:4" x14ac:dyDescent="0.25">
      <c r="A70" s="4" t="s">
        <v>1084</v>
      </c>
      <c r="B70" s="3" t="s">
        <v>1085</v>
      </c>
      <c r="C70" s="4" t="s">
        <v>624</v>
      </c>
      <c r="D70" s="4" t="s">
        <v>1026</v>
      </c>
    </row>
    <row r="71" spans="1:4" x14ac:dyDescent="0.25">
      <c r="A71" s="4" t="s">
        <v>1086</v>
      </c>
      <c r="B71" s="3" t="s">
        <v>1087</v>
      </c>
      <c r="C71" s="4" t="s">
        <v>615</v>
      </c>
      <c r="D71" s="4" t="s">
        <v>1026</v>
      </c>
    </row>
    <row r="73" spans="1:1" x14ac:dyDescent="0.25">
      <c r="A73" s="5" t="s">
        <v>1088</v>
      </c>
    </row>
    <row r="74" spans="1:2" x14ac:dyDescent="0.25">
      <c r="A74" s="4" t="s">
        <v>116</v>
      </c>
      <c r="B74" s="3" t="s">
        <v>1089</v>
      </c>
    </row>
    <row r="75" spans="1:2" x14ac:dyDescent="0.25">
      <c r="A75" s="4" t="s">
        <v>116</v>
      </c>
      <c r="B75" s="3" t="s">
        <v>1090</v>
      </c>
    </row>
    <row r="76" spans="1:2" x14ac:dyDescent="0.25">
      <c r="A76" s="4" t="s">
        <v>116</v>
      </c>
      <c r="B76" s="3" t="s">
        <v>1091</v>
      </c>
    </row>
    <row r="77" spans="1:2" x14ac:dyDescent="0.25">
      <c r="A77" s="4" t="s">
        <v>116</v>
      </c>
      <c r="B77" s="3" t="s">
        <v>1092</v>
      </c>
    </row>
    <row r="78" spans="1:2" x14ac:dyDescent="0.25">
      <c r="A78" s="4" t="s">
        <v>116</v>
      </c>
      <c r="B78" s="3" t="s">
        <v>1093</v>
      </c>
    </row>
    <row r="79" spans="1:2" x14ac:dyDescent="0.25">
      <c r="A79" s="4" t="s">
        <v>116</v>
      </c>
      <c r="B79" s="3" t="s">
        <v>1094</v>
      </c>
    </row>
    <row r="80" spans="1:2" x14ac:dyDescent="0.25">
      <c r="A80" s="4" t="s">
        <v>116</v>
      </c>
      <c r="B80" s="3" t="s">
        <v>1095</v>
      </c>
    </row>
    <row r="81" spans="1:2" x14ac:dyDescent="0.25">
      <c r="A81" s="4" t="s">
        <v>116</v>
      </c>
      <c r="B81" s="3" t="s">
        <v>1096</v>
      </c>
    </row>
    <row r="82" spans="1:2" x14ac:dyDescent="0.25">
      <c r="A82" s="4" t="s">
        <v>116</v>
      </c>
      <c r="B82" s="3" t="s">
        <v>1097</v>
      </c>
    </row>
    <row r="83" spans="1:2" x14ac:dyDescent="0.25">
      <c r="A83" s="4" t="s">
        <v>116</v>
      </c>
      <c r="B83" s="3" t="s">
        <v>1098</v>
      </c>
    </row>
    <row r="84" spans="1:2" x14ac:dyDescent="0.25">
      <c r="A84" s="4" t="s">
        <v>116</v>
      </c>
      <c r="B84" s="3" t="s">
        <v>1099</v>
      </c>
    </row>
    <row r="85" spans="1:2" x14ac:dyDescent="0.25">
      <c r="A85" s="4" t="s">
        <v>116</v>
      </c>
      <c r="B85" s="3" t="s">
        <v>1100</v>
      </c>
    </row>
    <row r="86" spans="1:2" x14ac:dyDescent="0.25">
      <c r="A86" s="4" t="s">
        <v>116</v>
      </c>
      <c r="B86" s="3" t="s">
        <v>1101</v>
      </c>
    </row>
    <row r="88" spans="1:1" x14ac:dyDescent="0.25">
      <c r="A88" s="10" t="s">
        <v>102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32" customWidth="1"/>
    <col min="3" max="4" width="100" customWidth="1"/>
  </cols>
  <sheetData>
    <row r="1" spans="1:4" x14ac:dyDescent="0.25">
      <c r="A1" s="6" t="s">
        <v>1102</v>
      </c>
      <c r="B1" s="6" t="s">
        <v>103</v>
      </c>
      <c r="C1" s="6" t="s">
        <v>1103</v>
      </c>
      <c r="D1" s="6" t="s">
        <v>1104</v>
      </c>
    </row>
    <row r="2" spans="1:4" x14ac:dyDescent="0.25">
      <c r="A2" s="3" t="s">
        <v>313</v>
      </c>
      <c r="B2" s="4" t="s">
        <v>1105</v>
      </c>
      <c r="C2" s="3" t="s">
        <v>1106</v>
      </c>
      <c r="D2" s="3" t="s">
        <v>1107</v>
      </c>
    </row>
    <row r="3" spans="1:4" x14ac:dyDescent="0.25">
      <c r="A3" s="3" t="s">
        <v>313</v>
      </c>
      <c r="B3" s="4" t="s">
        <v>1108</v>
      </c>
      <c r="C3" s="3" t="s">
        <v>1109</v>
      </c>
      <c r="D3" s="3" t="s">
        <v>1107</v>
      </c>
    </row>
    <row r="4" spans="1:4" x14ac:dyDescent="0.25">
      <c r="A4" s="3" t="s">
        <v>313</v>
      </c>
      <c r="B4" s="4" t="s">
        <v>1108</v>
      </c>
      <c r="C4" s="3" t="s">
        <v>1110</v>
      </c>
      <c r="D4" s="3" t="s">
        <v>1107</v>
      </c>
    </row>
    <row r="5" spans="1:4" x14ac:dyDescent="0.25">
      <c r="A5" s="3" t="s">
        <v>313</v>
      </c>
      <c r="B5" s="4" t="s">
        <v>1111</v>
      </c>
      <c r="C5" s="3" t="s">
        <v>1112</v>
      </c>
      <c r="D5" s="3" t="s">
        <v>1107</v>
      </c>
    </row>
    <row r="6" spans="1:4" x14ac:dyDescent="0.25">
      <c r="A6" s="3" t="s">
        <v>313</v>
      </c>
      <c r="B6" s="4" t="s">
        <v>1111</v>
      </c>
      <c r="C6" s="3" t="s">
        <v>1113</v>
      </c>
      <c r="D6" s="3" t="s">
        <v>1107</v>
      </c>
    </row>
    <row r="7" spans="1:4" x14ac:dyDescent="0.25">
      <c r="A7" s="3" t="s">
        <v>313</v>
      </c>
      <c r="B7" s="4" t="s">
        <v>1114</v>
      </c>
      <c r="C7" s="3" t="s">
        <v>1115</v>
      </c>
      <c r="D7" s="3" t="s">
        <v>1107</v>
      </c>
    </row>
    <row r="8" spans="1:4" x14ac:dyDescent="0.25">
      <c r="A8" s="3" t="s">
        <v>313</v>
      </c>
      <c r="B8" s="4" t="s">
        <v>1114</v>
      </c>
      <c r="C8" s="3" t="s">
        <v>1116</v>
      </c>
      <c r="D8" s="3" t="s">
        <v>1107</v>
      </c>
    </row>
    <row r="9" spans="1:4" x14ac:dyDescent="0.25">
      <c r="A9" s="3" t="s">
        <v>313</v>
      </c>
      <c r="B9" s="4" t="s">
        <v>1117</v>
      </c>
      <c r="C9" s="3" t="s">
        <v>1118</v>
      </c>
      <c r="D9" s="3" t="s">
        <v>1107</v>
      </c>
    </row>
    <row r="10" spans="1:4" x14ac:dyDescent="0.25">
      <c r="A10" s="3" t="s">
        <v>313</v>
      </c>
      <c r="B10" s="4" t="s">
        <v>1117</v>
      </c>
      <c r="C10" s="3" t="s">
        <v>1119</v>
      </c>
      <c r="D10" s="3" t="s">
        <v>1107</v>
      </c>
    </row>
    <row r="11" spans="1:4" x14ac:dyDescent="0.25">
      <c r="A11" s="3" t="s">
        <v>313</v>
      </c>
      <c r="B11" s="4" t="s">
        <v>1120</v>
      </c>
      <c r="C11" s="3" t="s">
        <v>1121</v>
      </c>
      <c r="D11" s="3" t="s">
        <v>1107</v>
      </c>
    </row>
    <row r="12" spans="1:4" x14ac:dyDescent="0.25">
      <c r="A12" s="3" t="s">
        <v>313</v>
      </c>
      <c r="B12" s="4" t="s">
        <v>1120</v>
      </c>
      <c r="C12" s="3" t="s">
        <v>1122</v>
      </c>
      <c r="D12" s="3" t="s">
        <v>1107</v>
      </c>
    </row>
    <row r="13" spans="1:4" x14ac:dyDescent="0.25">
      <c r="A13" s="3" t="s">
        <v>313</v>
      </c>
      <c r="B13" s="4" t="s">
        <v>1120</v>
      </c>
      <c r="C13" s="3" t="s">
        <v>1123</v>
      </c>
      <c r="D13" s="3" t="s">
        <v>1107</v>
      </c>
    </row>
    <row r="14" spans="1:4" x14ac:dyDescent="0.25">
      <c r="A14" s="3" t="s">
        <v>313</v>
      </c>
      <c r="B14" s="4" t="s">
        <v>1124</v>
      </c>
      <c r="C14" s="3" t="s">
        <v>1125</v>
      </c>
      <c r="D14" s="3" t="s">
        <v>1126</v>
      </c>
    </row>
    <row r="15" spans="1:4" x14ac:dyDescent="0.25">
      <c r="A15" s="3" t="s">
        <v>313</v>
      </c>
      <c r="B15" s="4" t="s">
        <v>1127</v>
      </c>
      <c r="C15" s="4" t="s">
        <v>1128</v>
      </c>
      <c r="D15" s="3" t="s">
        <v>1126</v>
      </c>
    </row>
    <row r="16" spans="1:4" x14ac:dyDescent="0.25">
      <c r="A16" s="3" t="s">
        <v>313</v>
      </c>
      <c r="B16" s="4" t="s">
        <v>1129</v>
      </c>
      <c r="C16" s="3" t="s">
        <v>1130</v>
      </c>
      <c r="D16" s="3" t="s">
        <v>1126</v>
      </c>
    </row>
    <row r="17" spans="1:4" x14ac:dyDescent="0.25">
      <c r="A17" s="3" t="s">
        <v>313</v>
      </c>
      <c r="B17" s="4" t="s">
        <v>1131</v>
      </c>
      <c r="C17" s="3" t="s">
        <v>1132</v>
      </c>
      <c r="D17" s="3" t="s">
        <v>1133</v>
      </c>
    </row>
    <row r="18" spans="1:4" x14ac:dyDescent="0.25">
      <c r="A18" s="3" t="s">
        <v>313</v>
      </c>
      <c r="B18" s="4" t="s">
        <v>1134</v>
      </c>
      <c r="C18" s="3" t="s">
        <v>1135</v>
      </c>
      <c r="D18" s="3" t="s">
        <v>1133</v>
      </c>
    </row>
    <row r="19" spans="1:4" x14ac:dyDescent="0.25">
      <c r="A19" s="3" t="s">
        <v>313</v>
      </c>
      <c r="B19" s="4" t="s">
        <v>1136</v>
      </c>
      <c r="C19" s="3" t="s">
        <v>1137</v>
      </c>
      <c r="D19" s="3" t="s">
        <v>1133</v>
      </c>
    </row>
    <row r="20" spans="1:4" x14ac:dyDescent="0.25">
      <c r="A20" s="3" t="s">
        <v>313</v>
      </c>
      <c r="B20" s="4" t="s">
        <v>1136</v>
      </c>
      <c r="C20" s="3" t="s">
        <v>1138</v>
      </c>
      <c r="D20" s="3" t="s">
        <v>1133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Сводка</vt:lpstr>
      <vt:lpstr>Параметры объекта</vt:lpstr>
      <vt:lpstr>Подбор</vt:lpstr>
      <vt:lpstr>Состав оборудования</vt:lpstr>
      <vt:lpstr>CAPEX</vt:lpstr>
      <vt:lpstr>OPEX</vt:lpstr>
      <vt:lpstr>Денежный поток</vt:lpstr>
      <vt:lpstr>Чувствительность</vt:lpstr>
      <vt:lpstr>Имитация</vt:lpstr>
      <vt:lpstr>Нормативы и допущения</vt:lpstr>
      <vt:lpstr>Источники</vt:lpstr>
      <vt:lpstr>Журнал корректировок</vt:lpstr>
      <vt:lpstr>О расчёте</vt:lpstr>
      <vt:lpstr>Внедрение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Платформа оценки роботизации</dc:creator>
  <dc:title>Предварительная оценка роботизации — Сдаточный пример - полный цикл мобильного стеллажа</dc:title>
  <dc:subject/>
  <dc:description/>
  <cp:keywords/>
  <cp:category/>
  <cp:lastModifiedBy>Unknown</cp:lastModifiedBy>
  <dcterms:created xsi:type="dcterms:W3CDTF">2026-10-20T10:24:31Z</dcterms:created>
  <dcterms:modified xsi:type="dcterms:W3CDTF">2026-10-20T10:24:31Z</dcterms:modified>
</cp:coreProperties>
</file>