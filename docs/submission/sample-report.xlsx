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Параметры объекта" state="visible" r:id="rId5"/>
    <sheet sheetId="3" name="Подбор" state="visible" r:id="rId6"/>
    <sheet sheetId="4" name="Состав оборудования" state="visible" r:id="rId7"/>
    <sheet sheetId="5" name="CAPEX" state="visible" r:id="rId8"/>
    <sheet sheetId="6" name="OPEX" state="visible" r:id="rId9"/>
    <sheet sheetId="7" name="Денежный поток" state="visible" r:id="rId10"/>
    <sheet sheetId="8" name="Чувствительность" state="visible" r:id="rId11"/>
    <sheet sheetId="9" name="Имитация" state="visible" r:id="rId12"/>
    <sheet sheetId="10" name="Нормативы и допущения" state="visible" r:id="rId13"/>
    <sheet sheetId="11" name="Источники" state="visible" r:id="rId14"/>
    <sheet sheetId="12" name="Журнал корректировок" state="visible" r:id="rId15"/>
    <sheet sheetId="13" name="О расчёте" state="visible" r:id="rId16"/>
    <sheet sheetId="14" name="Пилоты и бюджет" state="visible" r:id="rId17"/>
  </sheets>
  <calcPr calcId="171027" fullCalcOnLoad="1"/>
</workbook>
</file>

<file path=xl/sharedStrings.xml><?xml version="1.0" encoding="utf-8"?>
<sst xmlns="http://schemas.openxmlformats.org/spreadsheetml/2006/main" count="2703" uniqueCount="1033">
  <si>
    <t>Предварительная оценка роботизации</t>
  </si>
  <si>
    <t>Проект</t>
  </si>
  <si>
    <t>Сдаточный пример — склад 10000 м², парк с резервом N14</t>
  </si>
  <si>
    <t>Тип объекта</t>
  </si>
  <si>
    <t>Склад</t>
  </si>
  <si>
    <t>Дата расчёта</t>
  </si>
  <si>
    <t>17.10.2026 22:00 МСК</t>
  </si>
  <si>
    <t>Модель расчёта</t>
  </si>
  <si>
    <t>tz-1.0.3</t>
  </si>
  <si>
    <t>Модель имитации</t>
  </si>
  <si>
    <t>sim-1.1.0</t>
  </si>
  <si>
    <t>Версия данных</t>
  </si>
  <si>
    <t>744ad95b</t>
  </si>
  <si>
    <t>Вывод</t>
  </si>
  <si>
    <t>При текущих параметрах ни один вариант роботизации не окупается за 5 лет; сильнейший рычаг — «Доля автоматизируемого труда»</t>
  </si>
  <si>
    <t>• Наименьшая TCO за 5 лет — «Как есть»: 234,4 млн ₽</t>
  </si>
  <si>
    <t>• Риск (высокий): Паспортная норма 90 пал./ч в 4,7 раза выше расчётной по циклу на вашем объекте (19,2 пал./ч при плече ≈94 м, оценка по планировке); принято меньшее значение</t>
  </si>
  <si>
    <t>• Риск (средний): Денежная реализация высвобождаемого ФОТ принята 100 %: это оценочное допущение, а не автоматическое сокращение штата; высвобождаемая трудоёмкость считается отдельно</t>
  </si>
  <si>
    <t>• Риск (средний): Годовой охват «Ronavi H1500 (грузоподъемность до 1 500 кг)» ограничен оценкой 100 % и аналитической мощностью парка; короткий 3D-прогон не доказывает годовой охват</t>
  </si>
  <si>
    <t>• Сильнейший рычаг — «Доля автоматизируемого труда»: при 30–70 % NPV от -43,2 млн ₽ до 21,0 млн ₽</t>
  </si>
  <si>
    <t>• Покупка окупается (NPV ≥ 0) при зарплате от 161 757 ₽/мес</t>
  </si>
  <si>
    <t>Сравнение сценариев</t>
  </si>
  <si>
    <t>Показатель</t>
  </si>
  <si>
    <t>Как есть</t>
  </si>
  <si>
    <t>Покупка</t>
  </si>
  <si>
    <t>RaaS</t>
  </si>
  <si>
    <t>Состав оборудования</t>
  </si>
  <si>
    <t>текущий процесс, без роботов</t>
  </si>
  <si>
    <t>14 роботов · 1 зарядка · 1 пост диспетчера; оценочный годовой охват: 100 %; фиксированное число зарядок: 1; денежная реализация высвобождаемого ФОТ: 100 % (оценка; FTE отдельно)</t>
  </si>
  <si>
    <t>CAPEX</t>
  </si>
  <si>
    <t>OPEX в год</t>
  </si>
  <si>
    <t>ФОТ процесса</t>
  </si>
  <si>
    <t>Годовой эффект</t>
  </si>
  <si>
    <t>—</t>
  </si>
  <si>
    <t>Окупаемость (простая)</t>
  </si>
  <si>
    <t>не окупается</t>
  </si>
  <si>
    <t>Интерпретация</t>
  </si>
  <si>
    <t>база сравнения</t>
  </si>
  <si>
    <t>долгая окупаемость (более 5 лет)</t>
  </si>
  <si>
    <t>не окупается за горизонт расчёта</t>
  </si>
  <si>
    <t>ROI валовый</t>
  </si>
  <si>
    <t>ROI чистый</t>
  </si>
  <si>
    <t>NPV</t>
  </si>
  <si>
    <t>Дисконтированная окупаемость</t>
  </si>
  <si>
    <t>не окупается за горизонт</t>
  </si>
  <si>
    <t>TCO за 5 лет</t>
  </si>
  <si>
    <t>Изменение TCO к «Как есть»</t>
  </si>
  <si>
    <t>Имитация</t>
  </si>
  <si>
    <t>Проверка 3D текущего входа: OK; Заданные критерии модели выполнены; фактический результат пилота не проверен.; 134 из 130 ед./ч; очередь 0; модель warehouse-demo-incidents-1.4.0</t>
  </si>
  <si>
    <t>Риски</t>
  </si>
  <si>
    <t>нет</t>
  </si>
  <si>
    <t>10: Паспортная норма 90 пал./ч в 4,7 раза выше расчётной по циклу на вашем объекте (19,2 пал./ч при плече ≈94 м, оценка по планировке); принято меньшее значение · Денежная реализация высвобождаемого ФОТ принята 100 %: это оценочное допущение, а не автоматическое сокращение штата; высвобождаемая трудоёмкость считается отдельно · и ещё 8</t>
  </si>
  <si>
    <t>13: Паспортная норма 90 пал./ч в 4,7 раза выше расчётной по циклу на вашем объекте (19,2 пал./ч при плече ≈94 м, оценка по планировке); принято меньшее значение · Денежная реализация высвобождаемого ФОТ принята 100 %: это оценочное допущение, а не автоматическое сокращение штата; высвобождаемая трудоёмкость считается отдельно · и ещё 11</t>
  </si>
  <si>
    <t>База сравнения</t>
  </si>
  <si>
    <t>Не окупается за горизонт расчёта</t>
  </si>
  <si>
    <t>ROI услуги (RaaS): ROI неинформативен при малом CAPEX — сравнивайте NPV и TCO</t>
  </si>
  <si>
    <t>Риски сценариев</t>
  </si>
  <si>
    <t>Сценарий</t>
  </si>
  <si>
    <t>Важность</t>
  </si>
  <si>
    <t>Код</t>
  </si>
  <si>
    <t>Описание</t>
  </si>
  <si>
    <t>высокий</t>
  </si>
  <si>
    <t>NORM_VS_CYCLE</t>
  </si>
  <si>
    <t>Паспортная норма 90 пал./ч в 4,7 раза выше расчётной по циклу на вашем объекте (19,2 пал./ч при плече ≈94 м, оценка по планировке); принято меньшее значение</t>
  </si>
  <si>
    <t>средний</t>
  </si>
  <si>
    <t>CASH_REALIZATION_ASSUMPTION</t>
  </si>
  <si>
    <t>Денежная реализация высвобождаемого ФОТ принята 100 %: это оценочное допущение, а не автоматическое сокращение штата; высвобождаемая трудоёмкость считается отдельно</t>
  </si>
  <si>
    <t>ANNUAL_COVERAGE_ASSUMPTION</t>
  </si>
  <si>
    <t>Годовой охват «Ronavi H1500 (грузоподъемность до 1 500 кг)» ограничен оценкой 100 % и аналитической мощностью парка; короткий 3D-прогон не доказывает годовой охват</t>
  </si>
  <si>
    <t>SIGN_FLIP</t>
  </si>
  <si>
    <t>NPV меняет знак в пределах диапазона «Доля автоматизируемого труда» 30–70 %: от -50,5 млн ₽ до 13,7 млн ₽</t>
  </si>
  <si>
    <t>NPV меняет знак в пределах диапазона «Зарплата оператора погрузчика» 80 000–170 000 ₽/мес: от -35,9 млн ₽ до 3 623 702 ₽</t>
  </si>
  <si>
    <t>низкий</t>
  </si>
  <si>
    <t>LABOR_SHARE_ESTIMATE</t>
  </si>
  <si>
    <t>Доля труда, которую берут роботы (50 %), — оценка: в исходных данных её нет; диапазон 30–70 % входит в анализ чувствительности</t>
  </si>
  <si>
    <t>ROUTE_ESTIMATE</t>
  </si>
  <si>
    <t>Плечо перевозки ≈94 м оценено по типовой планировке из площади и ширины проходов, а не по чертежу объекта</t>
  </si>
  <si>
    <t>FLEET_COST_MISSING</t>
  </si>
  <si>
    <t>Стоимость существующего парка погрузчиков в исходных данных не задана — эффект занижен, оценка консервативна</t>
  </si>
  <si>
    <t>STAFF_REDUCTION</t>
  </si>
  <si>
    <t>Высвобождается ставок: 11,9 — учтите трудовые и социальные обязательства</t>
  </si>
  <si>
    <t>SIM_OVERSIZED</t>
  </si>
  <si>
    <t>Имитация показывает избыточный парк: простой 45 % при пороге 40 %; пиковый поток держит и парк из 9 роботов — проверьте, можно ли уменьшить число роботов</t>
  </si>
  <si>
    <t>RAAS_LOWER_BOUND</t>
  </si>
  <si>
    <t>Ставка RaaS — нижняя граница «от»: 100 000 ₽/мес за робота «Ronavi H1500 (грузоподъемность до 1 500 кг)»; фактическая ставка может быть выше</t>
  </si>
  <si>
    <t>NPV меняет знак в пределах диапазона «Доля автоматизируемого труда» 30–70 %: от -43,2 млн ₽ до 21,0 млн ₽</t>
  </si>
  <si>
    <t>NPV меняет знак в пределах диапазона «Зарплата оператора погрузчика» 80 000–170 000 ₽/мес: от -28,7 млн ₽ до 10,9 млн ₽</t>
  </si>
  <si>
    <t>NPV меняет знак в пределах диапазона «Ставка RaaS» 80 000–120 000 ₽/мес: от 1 026 208 ₽ до -23,2 млн ₽</t>
  </si>
  <si>
    <t>RAAS_ROI_UNINFORMATIVE</t>
  </si>
  <si>
    <t>ROI неинформативен при малом CAPEX — сравнивайте NPV и TCO</t>
  </si>
  <si>
    <t>Результат расчёта — предварительная оценка, его нужно проверить при обследовании объекта.</t>
  </si>
  <si>
    <t>Раздел</t>
  </si>
  <si>
    <t>Параметр</t>
  </si>
  <si>
    <t>Значение</t>
  </si>
  <si>
    <t>Ед.</t>
  </si>
  <si>
    <t>По умолчанию</t>
  </si>
  <si>
    <t>Типовой диапазон</t>
  </si>
  <si>
    <t>Источник</t>
  </si>
  <si>
    <t>Замечания</t>
  </si>
  <si>
    <t>Общие параметры объекта</t>
  </si>
  <si>
    <t>Общая площадь склада</t>
  </si>
  <si>
    <t>м²</t>
  </si>
  <si>
    <t>10 000–100 000 м²</t>
  </si>
  <si>
    <t>Базовые данные, Демо-набор данных › Склад › стр. 4</t>
  </si>
  <si>
    <t/>
  </si>
  <si>
    <t>Площадь активной (роботизируемой) зоны</t>
  </si>
  <si>
    <t>5 000–50 000 м²</t>
  </si>
  <si>
    <t>Базовые данные, Демо-набор данных › Склад › стр. 5</t>
  </si>
  <si>
    <t>Высота потолков в зоне хранения</t>
  </si>
  <si>
    <t>м</t>
  </si>
  <si>
    <t>5–16 м</t>
  </si>
  <si>
    <t>Базовые данные, Демо-набор данных › Склад › стр. 6</t>
  </si>
  <si>
    <t>Количество этажей (мезонинов)</t>
  </si>
  <si>
    <t>шт.</t>
  </si>
  <si>
    <t>1–3 шт.</t>
  </si>
  <si>
    <t>Базовые данные, Демо-набор данных › Склад › стр. 7</t>
  </si>
  <si>
    <t>Ширина главных проездов</t>
  </si>
  <si>
    <t>2,5–6 м</t>
  </si>
  <si>
    <t>Базовые данные, Демо-набор данных › Склад › стр. 8</t>
  </si>
  <si>
    <t>Ширина рабочих проходов между стеллажами</t>
  </si>
  <si>
    <t>1,5–4,5 м</t>
  </si>
  <si>
    <t>Базовые данные, Демо-набор данных › Склад › стр. 9</t>
  </si>
  <si>
    <t>Тип напольного покрытия</t>
  </si>
  <si>
    <t>Промышленный бетон</t>
  </si>
  <si>
    <t>Базовые данные, Демо-набор данных › Склад › стр. 10</t>
  </si>
  <si>
    <t>Ровность пола (отклонение)</t>
  </si>
  <si>
    <t>мм/2 м</t>
  </si>
  <si>
    <t>1–8 мм/2 м</t>
  </si>
  <si>
    <t>Базовые данные, Демо-набор данных › Склад › стр. 11</t>
  </si>
  <si>
    <t>Режим работы</t>
  </si>
  <si>
    <t>Количество рабочих смен в сутки</t>
  </si>
  <si>
    <t>смен</t>
  </si>
  <si>
    <t>1–3 смен</t>
  </si>
  <si>
    <t>Базовые данные, Демо-набор данных › Склад › стр. 13</t>
  </si>
  <si>
    <t>Рабочих дней в году</t>
  </si>
  <si>
    <t>дн.</t>
  </si>
  <si>
    <t>365–365 дн.</t>
  </si>
  <si>
    <t>Базовые данные, Демо-набор данных › Склад › стр. 14</t>
  </si>
  <si>
    <t>Продолжительность смены</t>
  </si>
  <si>
    <t>ч</t>
  </si>
  <si>
    <t>10–11 ч</t>
  </si>
  <si>
    <t>Базовые данные, Демо-набор данных › Склад › стр. 15</t>
  </si>
  <si>
    <t>Пиковый коэффициент нагрузки</t>
  </si>
  <si>
    <t>1,2–2,5</t>
  </si>
  <si>
    <t>Базовые данные, Демо-набор данных › Склад › стр. 16</t>
  </si>
  <si>
    <t>Операции: объём и производительность</t>
  </si>
  <si>
    <t>Объём приёмки (поддоны/сутки)</t>
  </si>
  <si>
    <t>поддон/сут</t>
  </si>
  <si>
    <t>500–5 000 поддон/сут</t>
  </si>
  <si>
    <t>Базовые данные, Демо-набор данных › Склад › стр. 18</t>
  </si>
  <si>
    <t>Объём отгрузки (поддоны/сутки)</t>
  </si>
  <si>
    <t>Базовые данные, Демо-набор данных › Склад › стр. 19</t>
  </si>
  <si>
    <t>Объём отбора (строк/сутки, всего)</t>
  </si>
  <si>
    <t>строк/сут</t>
  </si>
  <si>
    <t>50 000–500 000 строк/сут</t>
  </si>
  <si>
    <t>Базовые данные, Демо-набор данных › Склад › стр. 20</t>
  </si>
  <si>
    <t>Объём отбора (штук/сутки, всего)</t>
  </si>
  <si>
    <t>шт./сут</t>
  </si>
  <si>
    <t>75 000–750 000 шт./сут</t>
  </si>
  <si>
    <t>Базовые данные, Демо-набор данных › Склад › стр. 21</t>
  </si>
  <si>
    <t>Доля мелкоштучного отбора (piece-pick)</t>
  </si>
  <si>
    <t>%</t>
  </si>
  <si>
    <t>10–80 %</t>
  </si>
  <si>
    <t>Базовые данные, Демо-набор данных › Склад › стр. 22</t>
  </si>
  <si>
    <t>Количество SKU (активных)</t>
  </si>
  <si>
    <t>SKU</t>
  </si>
  <si>
    <t>1 000–10 000 SKU</t>
  </si>
  <si>
    <t>Базовые данные, Демо-набор данных › Склад › стр. 23</t>
  </si>
  <si>
    <t>Доля SKU с быстрым оборотом (A-класс)</t>
  </si>
  <si>
    <t>10–40 %</t>
  </si>
  <si>
    <t>Базовые данные, Демо-набор данных › Склад › стр. 24</t>
  </si>
  <si>
    <t>Персонал</t>
  </si>
  <si>
    <t>Общая численность персонала склада</t>
  </si>
  <si>
    <t>чел.</t>
  </si>
  <si>
    <t>30–700 чел.</t>
  </si>
  <si>
    <t>Базовые данные, Демо-набор данных › Склад › стр. 26</t>
  </si>
  <si>
    <t>Из них: отборщики (комплектовщики)</t>
  </si>
  <si>
    <t>15–500 чел.</t>
  </si>
  <si>
    <t>Базовые данные, Демо-набор данных › Склад › стр. 27</t>
  </si>
  <si>
    <t>Из них: операторы погрузчиков</t>
  </si>
  <si>
    <t>5–80 чел.</t>
  </si>
  <si>
    <t>Базовые данные, Демо-набор данных › Склад › стр. 28</t>
  </si>
  <si>
    <t>Из них: операторы упаковочных линий</t>
  </si>
  <si>
    <t>5–60 чел.</t>
  </si>
  <si>
    <t>Базовые данные, Демо-набор данных › Склад › стр. 29</t>
  </si>
  <si>
    <t>Средняя з/п отборщика (gross)</t>
  </si>
  <si>
    <t>руб./мес.</t>
  </si>
  <si>
    <t>70 000–150 000 руб./мес.</t>
  </si>
  <si>
    <t>Базовые данные, Демо-набор данных › Склад › стр. 30</t>
  </si>
  <si>
    <t>Средняя з/п оператора погрузчика (gross)</t>
  </si>
  <si>
    <t>80 000–170 000 руб./мес.</t>
  </si>
  <si>
    <t>Базовые данные, Демо-набор данных › Склад › стр. 31</t>
  </si>
  <si>
    <t>Коэффициент начислений на ФОТ (страховые взносы)</t>
  </si>
  <si>
    <t>1,302–1,302</t>
  </si>
  <si>
    <t>Базовые данные, Демо-набор данных › Склад › стр. 32</t>
  </si>
  <si>
    <t>Средняя выработка отборщика (строк/ч)</t>
  </si>
  <si>
    <t>строк/ч·чел</t>
  </si>
  <si>
    <t>80–200 строк/ч·чел</t>
  </si>
  <si>
    <t>Базовые данные, Демо-набор данных › Склад › стр. 33</t>
  </si>
  <si>
    <t>Коэффициент потерь рабочего времени (отпуск, болезнь, текучесть)</t>
  </si>
  <si>
    <t>15–35 %</t>
  </si>
  <si>
    <t>Базовые данные, Демо-набор данных › Склад › стр. 34</t>
  </si>
  <si>
    <t>Маршруты и планировка</t>
  </si>
  <si>
    <t>Средняя длина маршрута отборщика на 1 строку</t>
  </si>
  <si>
    <t>15–60 м</t>
  </si>
  <si>
    <t>Базовые данные, Демо-набор данных › Склад › стр. 36</t>
  </si>
  <si>
    <t>Протяжённость конвейерной/транспортной системы</t>
  </si>
  <si>
    <t>0–2 000 м</t>
  </si>
  <si>
    <t>Базовые данные, Демо-набор данных › Склад › стр. 37</t>
  </si>
  <si>
    <t>Хранение и характеристики грузов</t>
  </si>
  <si>
    <t>Тип стеллажной системы</t>
  </si>
  <si>
    <t>Фронтальные паллетные</t>
  </si>
  <si>
    <t>Базовые данные, Демо-набор данных › Склад › стр. 39</t>
  </si>
  <si>
    <t>Количество паллетомест</t>
  </si>
  <si>
    <t>паллетомест</t>
  </si>
  <si>
    <t>10 000–100 000 паллетомест</t>
  </si>
  <si>
    <t>Базовые данные, Демо-набор данных › Склад › стр. 40</t>
  </si>
  <si>
    <t>Средняя масса грузовой единицы (паллет)</t>
  </si>
  <si>
    <t>кг</t>
  </si>
  <si>
    <t>200–1 500 кг</t>
  </si>
  <si>
    <t>Базовые данные, Демо-набор данных › Склад › стр. 41</t>
  </si>
  <si>
    <t>Средняя масса штучной единицы (SKU)</t>
  </si>
  <si>
    <t>0,1–20 кг</t>
  </si>
  <si>
    <t>Базовые данные, Демо-набор данных › Склад › стр. 42</t>
  </si>
  <si>
    <t>Средние габариты паллеты (Д×Ш×В)</t>
  </si>
  <si>
    <t>1200×800×1600</t>
  </si>
  <si>
    <t>мм</t>
  </si>
  <si>
    <t>Базовые данные, Демо-набор данных › Склад › стр. 43</t>
  </si>
  <si>
    <t>Средние габариты штучной единицы (Д×Ш×В)</t>
  </si>
  <si>
    <t>300×200×150</t>
  </si>
  <si>
    <t>Базовые данные, Демо-набор данных › Склад › стр. 44</t>
  </si>
  <si>
    <t>Доля негабаритных/нестандартных грузов</t>
  </si>
  <si>
    <t>0–30 %</t>
  </si>
  <si>
    <t>Базовые данные, Демо-набор данных › Склад › стр. 45</t>
  </si>
  <si>
    <t>Инфраструктура и ограничения</t>
  </si>
  <si>
    <t>Мощность электроснабжения (доступная)</t>
  </si>
  <si>
    <t>кВт</t>
  </si>
  <si>
    <t>100–3 000 кВт</t>
  </si>
  <si>
    <t>Базовые данные, Демо-набор данных › Склад › стр. 47</t>
  </si>
  <si>
    <t>Наличие WMS</t>
  </si>
  <si>
    <t>Да</t>
  </si>
  <si>
    <t>Базовые данные, Демо-набор данных › Склад › стр. 48</t>
  </si>
  <si>
    <t>Наличие ERP/1С</t>
  </si>
  <si>
    <t>1С:ERP</t>
  </si>
  <si>
    <t>Базовые данные, Демо-набор данных › Склад › стр. 49</t>
  </si>
  <si>
    <t>Планируемый бюджет на роботизацию (CAPEX)</t>
  </si>
  <si>
    <t>млн руб.</t>
  </si>
  <si>
    <t>10–500 млн руб.</t>
  </si>
  <si>
    <t>Базовые данные, Демо-набор данных › Склад › стр. 50</t>
  </si>
  <si>
    <t>Горизонт расчёта окупаемости</t>
  </si>
  <si>
    <t>лет</t>
  </si>
  <si>
    <t>3–10 лет</t>
  </si>
  <si>
    <t>Базовые данные, Демо-набор данных › Склад › стр. 51</t>
  </si>
  <si>
    <t>Внутренние перемещения паллет (подпитка, перестановки)</t>
  </si>
  <si>
    <t>паллет/сут</t>
  </si>
  <si>
    <t>0–5 000 паллет/сут</t>
  </si>
  <si>
    <t>Оценка</t>
  </si>
  <si>
    <t>Количество ворот приёмки</t>
  </si>
  <si>
    <t>1–40 шт.</t>
  </si>
  <si>
    <t>Количество ворот отгрузки</t>
  </si>
  <si>
    <t>Температурный режим хранения</t>
  </si>
  <si>
    <t>Нормальный (+5…+25 °C)</t>
  </si>
  <si>
    <t>Высота верхнего яруса хранения</t>
  </si>
  <si>
    <t>4–15 м</t>
  </si>
  <si>
    <t>Расчёт</t>
  </si>
  <si>
    <t>Инвентаризаций в год</t>
  </si>
  <si>
    <t>раз/год</t>
  </si>
  <si>
    <t>1–52 раз/год</t>
  </si>
  <si>
    <t>Уборка склада</t>
  </si>
  <si>
    <t>Площадь уборки</t>
  </si>
  <si>
    <t>Уборок в сутки</t>
  </si>
  <si>
    <t>раз/сут</t>
  </si>
  <si>
    <t>1–6 раз/сут</t>
  </si>
  <si>
    <t>Численность уборщиков склада</t>
  </si>
  <si>
    <t>0–200 чел.</t>
  </si>
  <si>
    <t>не задано — в расчёт не входит</t>
  </si>
  <si>
    <t>Средняя з/п уборщика склада (gross)</t>
  </si>
  <si>
    <t>38 000–85 000 руб./мес.</t>
  </si>
  <si>
    <t>Оценка, Демо-набор данных › Аэропорт › стр. 34</t>
  </si>
  <si>
    <t>Процесс</t>
  </si>
  <si>
    <t>Продукт</t>
  </si>
  <si>
    <t>Статус</t>
  </si>
  <si>
    <t>Балл (0–100)</t>
  </si>
  <si>
    <t>Требует проверки</t>
  </si>
  <si>
    <t>Причины</t>
  </si>
  <si>
    <t>Ограничения</t>
  </si>
  <si>
    <t>Недостающие данные</t>
  </si>
  <si>
    <t>Вклад факторов</t>
  </si>
  <si>
    <t>Перемещение паллет: приёмка → хранение → отгрузка</t>
  </si>
  <si>
    <t>Ronavi H1500 (грузоподъемность до 1 500 кг)</t>
  </si>
  <si>
    <t>Рекомендуется</t>
  </si>
  <si>
    <t>да</t>
  </si>
  <si>
    <t>Рекомендуется: лучший балл среди кандидатов с расчётом экономики — 72 из 100; Предназначен для процесса «Перемещение паллет: приёмка → хранение → отгрузка» на объекте типа «Склад»; Грузоподъёмность 1 500 кг ≥ масса груза 800 кг (запас 88 %); Минимальная ширина прохода 0,75 м ≤ ширина проходов объекта 2,8 м; Рабочая температура +5…+25 °C подходит для режима «Нормальный (+5…+25 °C)»</t>
  </si>
  <si>
    <t>подъём на ярусы не предусмотрен: только горизонтальная транспортировка; размещение на верхние ярусы остаётся за погрузчиками; требует проверки: карточка собрана из нескольких строк каталога; производительность не подтверждена первоисточником</t>
  </si>
  <si>
    <t>Экономика: 27,2 из 40 — Экономика: 27 из 40 — NPV покупки -4 108 652 ₽, третий среди 8 кандидатов; Данные: 4,9 из 20 — Данные: 5 из 20 — полнота карточки 94 % × подтверждено первоисточником 26 % характеристик; Зрелость: 15 из 15 — Зрелость: 15 из 15 — серийная эксплуатация; Запас: 15 из 15 — Запас: 15 из 15 — грузоподъёмность +88 % к массе груза (полный балл от +50 %); проход шире нужного на 2,05 м (полный балл от 1 м); Кейсы: 10 из 10 — Кейсы: 10 из 10 — есть опубликованные внедрения</t>
  </si>
  <si>
    <t>AMR 1500 (грузоподъемность до 1 500 кг)</t>
  </si>
  <si>
    <t>Подходит</t>
  </si>
  <si>
    <t>Предназначен для процесса «Перемещение паллет: приёмка → хранение → отгрузка» на объекте типа «Склад»; Грузоподъёмность 1 500 кг ≥ масса груза 800 кг (запас 88 %); Минимальная ширина прохода 0,7 м ≤ ширина проходов объекта 2,8 м; Рабочая температура +5…+40 °C подходит для режима «Нормальный (+5…+25 °C)»</t>
  </si>
  <si>
    <t>подъём на ярусы не предусмотрен: только горизонтальная транспортировка; размещение на верхние ярусы остаётся за погрузчиками; пилотная эксплуатация; паспортная производительность не опубликована — в расчёт идёт цикл по скорости 1,5 м/с и планировке объекта; требует проверки: цена не подтверждена первоисточником</t>
  </si>
  <si>
    <t>Ставка RaaS: Услуга (RaaS) без ставки не рассчитывается: укажите ставку за робота в месяц (₽) или подставьте оценку по нормативу — она будет помечена как оценка</t>
  </si>
  <si>
    <t>Экономика: 31,9 из 40 — Экономика: 32 из 40 — NPV покупки 3 983 162 ₽, второй среди 8 кандидатов; Данные: 1,8 из 20 — Данные: 2 из 20 — полнота карточки 74 % × подтверждено первоисточником 12 % характеристик; Зрелость: 9 из 15 — Зрелость: 9 из 15 — пилотная эксплуатация — засчитывается 0,6 от серийной; Запас: 15 из 15 — Запас: 15 из 15 — грузоподъёмность +88 % к массе груза (полный балл от +50 %); проход шире нужного на 2,1 м (полный балл от 1 м); Кейсы: 10 из 10 — Кейсы: 10 из 10 — есть опубликованные внедрения</t>
  </si>
  <si>
    <t>AMR 800 (грузоподъемность до 800 кг)</t>
  </si>
  <si>
    <t>Предназначен для процесса «Перемещение паллет: приёмка → хранение → отгрузка» на объекте типа «Склад»; Грузоподъёмность 800 кг ≥ масса груза 800 кг (запас 0 %); Минимальная ширина прохода 0,7 м ≤ ширина проходов объекта 2,8 м; Рабочая температура +5…+40 °C подходит для режима «Нормальный (+5…+25 °C)»</t>
  </si>
  <si>
    <t>запас грузоподъёмности 0 % (800 кг при массе груза 800 кг); подъём на ярусы не предусмотрен: только горизонтальная транспортировка; размещение на верхние ярусы остаётся за погрузчиками; паспортная производительность не опубликована — в расчёт идёт цикл по скорости 2 м/с и планировке объекта; требует проверки: цена не подтверждена первоисточником</t>
  </si>
  <si>
    <t>Экономика: 40 из 40 — Экономика: 40 из 40 — NPV покупки 18,1 млн ₽, лучший среди 8 кандидатов; Данные: 1,2 из 20 — Данные: 1 из 20 — полнота карточки 74 % × подтверждено первоисточником 8 % характеристик; Зрелость: 15 из 15 — Зрелость: 15 из 15 — серийная эксплуатация; Запас: 0 из 15 — Запас: 0 из 15 — грузоподъёмность +0 % к массе груза (полный балл от +50 %); проход шире нужного на 2,1 м (полный балл от 1 м); Кейсы: 10 из 10 — Кейсы: 10 из 10 — есть опубликованные внедрения</t>
  </si>
  <si>
    <t>AK-2000-2</t>
  </si>
  <si>
    <t>Предназначен для процесса «Перемещение паллет: приёмка → хранение → отгрузка» на объекте типа «Склад»; Грузоподъёмность 2 000 кг ≥ масса груза 800 кг (запас 150 %)</t>
  </si>
  <si>
    <t>высота подъёма не опубликована — размещение на ярус 9 м требует проверки; паспортная производительность не опубликована — в расчёт идёт цикл по скорости 2,6 м/с и планировке объекта; требует проверки: цена не подтверждена первоисточником</t>
  </si>
  <si>
    <t>Ставка RaaS: Услуга (RaaS) без ставки не рассчитывается: укажите ставку за робота в месяц (₽) или подставьте оценку по нормативу — она будет помечена как оценка; Ширина прохода: Уточните у производителя минимальную ширину прохода и разворота — без неё не проверить проходы объекта 2,8 м</t>
  </si>
  <si>
    <t>Экономика: 26,5 из 40 — Экономика: 26 из 40 — NPV покупки -5 305 015 ₽, четвёртый среди 8 кандидатов; Данные: 0,6 из 20 — Данные: 1 из 20 — полнота карточки 77 % × подтверждено первоисточником 4 % характеристик; Зрелость: 15 из 15 — Зрелость: 15 из 15 — серийная эксплуатация; Запас: 7,5 из 15 — Запас: 8 из 15 — грузоподъёмность +150 % к массе груза (полный балл от +50 %); ширина прохода не опубликована — засчитано 0,5; Кейсы: 10 из 10 — Кейсы: 10 из 10 — есть опубликованные внедрения</t>
  </si>
  <si>
    <t>Ronavi H2000 (грузоподъемность до 2 000 кг)</t>
  </si>
  <si>
    <t>Предназначен для процесса «Перемещение паллет: приёмка → хранение → отгрузка» на объекте типа «Склад»; Грузоподъёмность 2 000 кг ≥ масса груза 800 кг (запас 150 %); Минимальная ширина прохода 1,19 м ≤ ширина проходов объекта 2,8 м; Рабочая температура +5…+30 °C подходит для режима «Нормальный (+5…+25 °C)»</t>
  </si>
  <si>
    <t>подъём на ярусы не предусмотрен: только горизонтальная транспортировка; размещение на верхние ярусы остаётся за погрузчиками; паспортная производительность не опубликована — в расчёт идёт цикл по скорости 1 м/с и планировке объекта; требует проверки: карточка собрана из нескольких строк каталога; кейс внедрения не подтверждён</t>
  </si>
  <si>
    <t>Экономика: 17,4 из 40 — Экономика: 17 из 40 — NPV покупки -21,0 млн ₽, шестой среди 8 кандидатов; Данные: 2,7 из 20 — Данные: 3 из 20 — полнота карточки 90 % × подтверждено первоисточником 15 % характеристик; Зрелость: 15 из 15 — Зрелость: 15 из 15 — серийная эксплуатация; Запас: 15 из 15 — Запас: 15 из 15 — грузоподъёмность +150 % к массе груза (полный балл от +50 %); проход шире нужного на 1,61 м (полный балл от 1 м); Кейсы: 10 из 10 — Кейсы: 10 из 10 — есть опубликованные внедрения</t>
  </si>
  <si>
    <t>DMR 1200 (грузоподъемность до 1 200 кг)</t>
  </si>
  <si>
    <t>Предназначен для процесса «Перемещение паллет: приёмка → хранение → отгрузка» на объекте типа «Склад»; Грузоподъёмность 1 200 кг ≥ масса груза 800 кг (запас 50 %)</t>
  </si>
  <si>
    <t>подъём на ярусы не предусмотрен: только горизонтальная транспортировка; размещение на верхние ярусы остаётся за погрузчиками; пилотная эксплуатация; паспортная производительность не опубликована — в расчёт идёт цикл по скорости 2 м/с и планировке объекта; требует проверки: цена не подтверждена первоисточником</t>
  </si>
  <si>
    <t>Экономика: 20,3 из 40 — Экономика: 20 из 40 — NPV покупки -16,0 млн ₽, пятый среди 8 кандидатов; Данные: 0,6 из 20 — Данные: 1 из 20 — полнота карточки 74 % × подтверждено первоисточником 4 % характеристик; Зрелость: 9 из 15 — Зрелость: 9 из 15 — пилотная эксплуатация — засчитывается 0,6 от серийной; Запас: 7,5 из 15 — Запас: 8 из 15 — грузоподъёмность +50 % к массе груза (полный балл от +50 %); ширина прохода не опубликована — засчитано 0,5; Кейсы: 10 из 10 — Кейсы: 10 из 10 — есть опубликованные внедрения</t>
  </si>
  <si>
    <t>MULE</t>
  </si>
  <si>
    <t>Предназначен для процесса «Перемещение паллет: приёмка → хранение → отгрузка» на объекте типа «Склад»; Грузоподъёмность 1 500 кг ≥ масса груза 800 кг (запас 88 %)</t>
  </si>
  <si>
    <t>высота подъёма не опубликована — размещение на ярус 9 м требует проверки; пилотная эксплуатация; паспортная производительность не опубликована — в расчёт идёт цикл по скорости 1,3 м/с и планировке объекта; требует проверки: цена не подтверждена первоисточником; полнота карточки 55 % (меньше 60 %)</t>
  </si>
  <si>
    <t>Экономика: 10,6 из 40 — Экономика: 11 из 40 — NPV покупки -32,7 млн ₽, седьмой среди 8 кандидатов; Данные: 1,3 из 20 — Данные: 1 из 20 — полнота карточки 55 % × подтверждено первоисточником 12 % характеристик; Зрелость: 9 из 15 — Зрелость: 9 из 15 — пилотная эксплуатация — засчитывается 0,6 от серийной; Запас: 7,5 из 15 — Запас: 8 из 15 — грузоподъёмность +88 % к массе груза (полный балл от +50 %); ширина прохода не опубликована — засчитано 0,5; Кейсы: 10 из 10 — Кейсы: 10 из 10 — есть опубликованные внедрения</t>
  </si>
  <si>
    <t>DMR Carrier P</t>
  </si>
  <si>
    <t>высота подъёма 1,6 м &lt; верхнего яруса 9 м: только горизонтальная транспортировка; размещение на верхние ярусы остаётся за погрузчиками; пилотная эксплуатация; требует проверки: цена не подтверждена первоисточником; производительность не подтверждена первоисточником</t>
  </si>
  <si>
    <t>Экономика: 0 из 40 — Экономика: 0 из 40 — NPV покупки -51,2 млн ₽, восьмой среди 8 кандидатов; Данные: 4,2 из 20 — Данные: 4 из 20 — полнота карточки 81 % × подтверждено первоисточником 26 % характеристик; Зрелость: 9 из 15 — Зрелость: 9 из 15 — пилотная эксплуатация — засчитывается 0,6 от серийной; Запас: 7,5 из 15 — Запас: 8 из 15 — грузоподъёмность +88 % к массе груза (полный балл от +50 %); ширина прохода не опубликована — засчитано 0,5; Кейсы: 10 из 10 — Кейсы: 10 из 10 — есть опубликованные внедрения</t>
  </si>
  <si>
    <t>Pallet Shuttle</t>
  </si>
  <si>
    <t>Недостаточно данных</t>
  </si>
  <si>
    <t>Недостаточно данных для расчёта парка: паспортная производительность 100 паллет/ч в расчёт не идёт (паспортная цифра не отнесена к одному роботу или станции), цикл по скорости для стационарного решения не считается; Предназначен для процесса «Перемещение паллет: приёмка → хранение → отгрузка» на объекте типа «Склад»; Грузоподъёмность 1 500 кг ≥ масса груза 800 кг (запас 88 %)</t>
  </si>
  <si>
    <t>перестройка стеллажей под каналы шаттла в CAPEX не учтена; требует проверки: производитель указан спорно; кейс внедрения не подтверждён; цена не подтверждена первоисточником; производительность не подтверждена первоисточником</t>
  </si>
  <si>
    <t>Производительность: Укажите производительность вручную или выберите решение с данными; Ставка RaaS: Услуга (RaaS) без ставки не рассчитывается: укажите ставку за робота в месяц (₽) или подставьте оценку по нормативу — она будет помечена как оценка</t>
  </si>
  <si>
    <t>Экономика: 0 из 40 — Экономика: 0 из 40 — нет данных для экономики: без производительности парк не посчитать; Данные: 1,9 из 20 — Данные: 2 из 20 — полнота карточки 74 % × подтверждено первоисточником 13 % характеристик; Зрелость: 15 из 15 — Зрелость: 15 из 15 — серийная эксплуатация; Запас: 15 из 15 — Запас: 15 из 15 — грузоподъёмность +88 % к массе груза (полный балл от +50 %); стационарное решение — проходы для проезда не нужны; Кейсы: 10 из 10 — Кейсы: 10 из 10 — есть опубликованные внедрения</t>
  </si>
  <si>
    <t>Беспилотный погрузчик</t>
  </si>
  <si>
    <t>Недостаточно данных для расчёта парка: паспортная производительность не опубликована, скорость для расчёта цикла не опубликована; Предназначен для процесса «Перемещение паллет: приёмка → хранение → отгрузка» на объекте типа «Склад»; Грузоподъёмность 2 000 кг ≥ масса груза 800 кг (запас 150 %)</t>
  </si>
  <si>
    <t>высота подъёма не опубликована — размещение на ярус 9 м требует проверки; пилотная эксплуатация; требует проверки: производитель указан спорно; цена не подтверждена первоисточником</t>
  </si>
  <si>
    <t>Производительность: Укажите производительность вручную или выберите решение с данными; Ставка RaaS: Услуга (RaaS) без ставки не рассчитывается: укажите ставку за робота в месяц (₽) или подставьте оценку по нормативу — она будет помечена как оценка; Ширина прохода: Уточните у производителя минимальную ширину прохода и разворота — без неё не проверить проходы объекта 2,8 м</t>
  </si>
  <si>
    <t>Экономика: 0 из 40 — Экономика: 0 из 40 — нет данных для экономики: без производительности парк не посчитать; Данные: 0 из 20 — Данные: 0 из 20 — полнота карточки 65 % × подтверждено первоисточником 0 % характеристик; Зрелость: 9 из 15 — Зрелость: 9 из 15 — пилотная эксплуатация — засчитывается 0,6 от серийной; Запас: 7,5 из 15 — Запас: 8 из 15 — грузоподъёмность +150 % к массе груза (полный балл от +50 %); ширина прохода не опубликована — засчитано 0,5; Кейсы: 10 из 10 — Кейсы: 10 из 10 — есть опубликованные внедрения</t>
  </si>
  <si>
    <t>Сёмабот (грузоподъемность до 1 500 кг)</t>
  </si>
  <si>
    <t>Недостаточно данных для расчёта парка: паспортная производительность не опубликована, скорость для расчёта цикла не опубликована; Предназначен для процесса «Перемещение паллет: приёмка → хранение → отгрузка» на объекте типа «Склад»; Грузоподъёмность 1 500 кг ≥ масса груза 800 кг (запас 88 %)</t>
  </si>
  <si>
    <t>подъём на ярусы не предусмотрен: только горизонтальная транспортировка; размещение на верхние ярусы остаётся за погрузчиками; пилотная эксплуатация; требует проверки: цена похожа на условную (типовое значение каталога); цена не подтверждена первоисточником</t>
  </si>
  <si>
    <t>Экономика: 0 из 40 — Экономика: 0 из 40 — нет данных для экономики: без производительности парк не посчитать; Данные: 0,6 из 20 — Данные: 1 из 20 — полнота карточки 61 % × подтверждено первоисточником 5 % характеристик; Зрелость: 9 из 15 — Зрелость: 9 из 15 — пилотная эксплуатация — засчитывается 0,6 от серийной; Запас: 7,5 из 15 — Запас: 8 из 15 — грузоподъёмность +88 % к массе груза (полный балл от +50 %); ширина прохода не опубликована — засчитано 0,5; Кейсы: 10 из 10 — Кейсы: 10 из 10 — есть опубликованные внедрения</t>
  </si>
  <si>
    <t>Робот-тягач RoboCV</t>
  </si>
  <si>
    <t>Исключён</t>
  </si>
  <si>
    <t>Робот-тягач RoboCV: минимальная ширина прохода 2,9 м &gt; ширина проходов объекта 2,8 м</t>
  </si>
  <si>
    <t>подъём на ярусы не предусмотрен: только горизонтальная транспортировка; размещение на верхние ярусы остаётся за погрузчиками; требует проверки: цена похожа на условную (типовое значение каталога); часть характеристик взята у другого продукта; цена не подтверждена первоисточником</t>
  </si>
  <si>
    <t>Робот-штабелёр RoboCV</t>
  </si>
  <si>
    <t>Робот-штабелёр RoboCV: ширина прохода для разворота 2,9 м &gt; ширина проходов объекта 2,8 м</t>
  </si>
  <si>
    <t>высота подъёма не опубликована — размещение на ярус 9 м требует проверки; требует проверки: цена похожа на условную (типовое значение каталога); цена не подтверждена первоисточником; производительность не подтверждена первоисточником</t>
  </si>
  <si>
    <t>AS-RS P</t>
  </si>
  <si>
    <t>AS-RS P: не предназначен для процесса «Перемещение паллет: приёмка → хранение → отгрузка»</t>
  </si>
  <si>
    <t>требует проверки: цена не подтверждена первоисточником</t>
  </si>
  <si>
    <t>DMR 600 (грузоподъемность до 600 кг)</t>
  </si>
  <si>
    <t>DMR 600 (грузоподъемность до 600 кг): грузоподъёмность 600 кг &lt; масса груза 800 кг</t>
  </si>
  <si>
    <t>подъём на ярусы не предусмотрен: только горизонтальная транспортировка; размещение на верхние ярусы остаётся за погрузчиками; пилотная эксплуатация; требует проверки: карточка собрана из нескольких строк каталога; цена не подтверждена первоисточником</t>
  </si>
  <si>
    <t>Ronavi RCM (грузоподъемность до 350 кг)</t>
  </si>
  <si>
    <t>Статус НИОКР — в расчёт не включается; Модель не найдена у производителя; Опытный образец; Модель Ronavi RCM не найдена у производителя: в каталоге ronavi-robotics.ru семь моделей, страница /catalogue/rcm недоступна (проверено 23.09.2026); Ronavi RCM (грузоподъемность до 350 кг): грузоподъёмность 350 кг &lt; масса груза 800 кг</t>
  </si>
  <si>
    <t>подъём на ярусы не предусмотрен: только горизонтальная транспортировка; размещение на верхние ярусы остаётся за погрузчиками; требует проверки: цена не подтверждена первоисточником; полнота карточки 39 % (меньше 60 %)</t>
  </si>
  <si>
    <t>Tagarka (грузоподъемность до 35 000 кг)</t>
  </si>
  <si>
    <t>Вариант не опубликован; Вариант Tagarka 35 т не опубликован производителем: на сайте Семаргл линейка 2 / 6 / 9 т, большие грузоподъёмности — только под заказ (проверено 23.09.2026)</t>
  </si>
  <si>
    <t>Автоматизированное хранение</t>
  </si>
  <si>
    <t>Предназначен для процесса «Автоматизированное хранение» на объекте типа «Склад»; Грузоподъёмность 1 400 кг ≥ масса груза 800 кг (запас 75 %)</t>
  </si>
  <si>
    <t>Экономика: 0 из 40 — Экономика: 0 из 40 — нет данных для экономики: экономика процесса «Автоматизированное хранение» в прототипе не рассчитывается; Данные: 7,1 из 20 — Данные: 7 из 20 — полнота карточки 81 % × подтверждено первоисточником 44 % характеристик; Зрелость: 15 из 15 — Зрелость: 15 из 15 — серийная эксплуатация; Запас: 15 из 15 — Запас: 15 из 15 — грузоподъёмность +75 %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</si>
  <si>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Предназначен для процесса «Автоматизированное хранение» на объекте типа «Склад»; Грузоподъёмность 1 500 кг ≥ масса груза 800 кг (запас 88 %)</t>
  </si>
  <si>
    <t>Экономика: 0 из 40 — Экономика: 0 из 40 — нет данных для экономики: экономика процесса «Автоматизированное хранение» в прототипе не рассчитывается; Данные: 1,9 из 20 — Данные: 2 из 20 — полнота карточки 74 % × подтверждено первоисточником 13 % характеристик; Зрелость: 15 из 15 — Зрелость: 15 из 15 — серийная эксплуатация; Запас: 15 из 15 — Запас: 15 из 15 — грузоподъёмность +88 % к массе груза (полный балл от +50 %); стационарное решение — проходы для проезда не нужны; Кейсы: 10 из 10 — Кейсы: 10 из 10 — есть опубликованные внедрения</t>
  </si>
  <si>
    <t>Предназначен для процесса «Автоматизированное хранение» на объекте типа «Склад»; Грузоподъёмность 2 000 кг ≥ масса груза 800 кг (запас 150 %)</t>
  </si>
  <si>
    <t>высота подъёма не опубликована — размещение на ярус 9 м требует проверки; требует проверки: цена не подтверждена первоисточником</t>
  </si>
  <si>
    <t>Экономика: 0 из 40 — Экономика: 0 из 40 — нет данных для экономики: экономика процесса «Автоматизированное хранение» в прототипе не рассчитывается; Данные: 0,6 из 20 — Данные: 1 из 20 — полнота карточки 77 % × подтверждено первоисточником 4 % характеристик; Зрелость: 15 из 15 — Зрелость: 15 из 15 — серийная эксплуатация; Запас: 15 из 15 — Запас: 15 из 15 — грузоподъёмность +150 %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</si>
  <si>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Экономика: 0 из 40 — Экономика: 0 из 40 — нет данных для экономики: экономика процесса «Автоматизированное хранение» в прототипе не рассчитывается; Данные: 4,2 из 20 — Данные: 4 из 20 — полнота карточки 81 % × подтверждено первоисточником 26 % характеристик; Зрелость: 9 из 15 — Зрелость: 9 из 15 — пилотная эксплуатация — засчитывается 0,6 от серийной; Запас: 15 из 15 — Запас: 15 из 15 — грузоподъёмность +88 %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</si>
  <si>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Недостаточно данных: нет ни производительности, ни скорости; Предназначен для процесса «Автоматизированное хранение» на объекте типа «Склад»; Грузоподъёмность 3 000 кг ≥ масса груза 800 кг (запас 275 %); Рабочая температура −5…+40 °C подходит для режима «Нормальный (+5…+25 °C)»</t>
  </si>
  <si>
    <t>Экономика: 0 из 40 — Экономика: 0 из 40 — нет данных для экономики: экономика процесса «Автоматизированное хранение» в прототипе не рассчитывается; Данные: 3,4 из 20 — Данные: 3 из 20 — полнота карточки 65 % × подтверждено первоисточником 26 % характеристик; Зрелость: 15 из 15 — Зрелость: 15 из 15 — серийная эксплуатация; Запас: 15 из 15 — Запас: 15 из 15 — грузоподъёмность +275 % к массе груза (полный балл от +50 %); стационарное решение — проходы для проезда не нужны; Кейсы: 10 из 10 — Кейсы: 10 из 10 — есть опубликованные внедрения</t>
  </si>
  <si>
    <t>Беспилотный погрузчик: не предназначен для процесса «Автоматизированное хранение»</t>
  </si>
  <si>
    <t>MULE: не предназначен для процесса «Автоматизированное хранение»</t>
  </si>
  <si>
    <t>высота подъёма не опубликована — размещение на ярус 9 м требует проверки; пилотная эксплуатация; требует проверки: цена не подтверждена первоисточником; полнота карточки 55 % (меньше 60 %)</t>
  </si>
  <si>
    <t>Штучный отбор (товар к человеку)</t>
  </si>
  <si>
    <t>SmartCube</t>
  </si>
  <si>
    <t>Предназначен для процесса «Штучный отбор (товар к человеку)» на объекте типа «Склад»; Грузоподъёмность 30 кг ≥ масса груза 1,8 кг (запас 1 567 %)</t>
  </si>
  <si>
    <t>требует проверки: в источниках разные цены; цена не подтверждена первоисточником</t>
  </si>
  <si>
    <t>Экономика: 0 из 40 — Экономика: 0 из 40 — нет данных для экономики: экономика процесса «Штучный отбор (товар к человеку)» в прототипе не рассчитывается; Данные: 9,4 из 20 — Данные: 9 из 20 — полнота карточки 87 % × подтверждено первоисточником 54 % характеристик; Зрелость: 15 из 15 — Зрелость: 15 из 15 — серийная эксплуатация; Запас: 15 из 15 — Запас: 15 из 15 — грузоподъёмность +1 567 % к массе груза (полный балл от +50 %); стационарное решение — проходы для проезда не нужны; Кейсы: 10 из 10 — Кейсы: 10 из 10 — есть опубликованные внедрения</t>
  </si>
  <si>
    <t>DMR 300 Carrier B</t>
  </si>
  <si>
    <t>Предназначен для процесса «Штучный отбор (товар к человеку)» на объекте типа «Склад»; Грузоподъёмность 100 кг ≥ масса груза 1,8 кг (запас 5 456 %); Рабочая температура 0…+40 °C подходит для режима «Нормальный (+5…+25 °C)»</t>
  </si>
  <si>
    <t>Экономика: 0 из 40 — Экономика: 0 из 40 — нет данных для экономики: экономика процесса «Штучный отбор (товар к человеку)» в прототипе не рассчитывается; Данные: 0,6 из 20 — Данные: 1 из 20 — полнота карточки 74 % × подтверждено первоисточником 4 % характеристик; Зрелость: 15 из 15 — Зрелость: 15 из 15 — серийная эксплуатация; Запас: 15 из 15 — Запас: 15 из 15 — грузоподъёмность +5 456 %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</si>
  <si>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AMR 100 (грузоподъемность до 100 кг)</t>
  </si>
  <si>
    <t>Предназначен для процесса «Штучный отбор (товар к человеку)» на объекте типа «Склад»; Грузоподъёмность 100 кг ≥ масса груза 1,8 кг (запас 5 456 %)</t>
  </si>
  <si>
    <t>Экономика: 0 из 40 — Экономика: 0 из 40 — нет данных для экономики: экономика процесса «Штучный отбор (товар к человеку)» в прототипе не рассчитывается; Данные: 0 из 20 — Данные: 0 из 20 — полнота карточки 68 % × подтверждено первоисточником 0 % характеристик; Зрелость: 15 из 15 — Зрелость: 15 из 15 — серийная эксплуатация; Запас: 15 из 15 — Запас: 15 из 15 — грузоподъёмность +5 456 %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</si>
  <si>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Ronavi M (грузоподъемность до 1200 кг)</t>
  </si>
  <si>
    <t>Предназначен для процесса «Штучный отбор (товар к человеку)» на объекте типа «Склад»; Грузоподъёмность 1 200 кг ≥ масса груза 1,8 кг (запас 66 567 %); Рабочая температура +5…+30 °C подходит для режима «Нормальный (+5…+25 °C)»</t>
  </si>
  <si>
    <t>пилотная эксплуатация; требует проверки: производительность не подтверждена первоисточником</t>
  </si>
  <si>
    <t>Экономика: 0 из 40 — Экономика: 0 из 40 — нет данных для экономики: экономика процесса «Штучный отбор (товар к человеку)» в прототипе не рассчитывается; Данные: 1,7 из 20 — Данные: 2 из 20 — полнота карточки 94 % × подтверждено первоисточником 9 % характеристик; Зрелость: 9 из 15 — Зрелость: 9 из 15 — пилотная эксплуатация — засчитывается 0,6 от серийной; Запас: 15 из 15 — Запас: 15 из 15 — грузоподъёмность +66 567 %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</si>
  <si>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AS-RS B</t>
  </si>
  <si>
    <t>Недостаточно данных: нет ни производительности, ни скорости; Предназначен для процесса «Штучный отбор (товар к человеку)» на объекте типа «Склад»; Грузоподъёмность 30 кг ≥ масса груза 1,8 кг (запас 1 567 %); Рабочая температура −5…+40 °C подходит для режима «Нормальный (+5…+25 °C)»</t>
  </si>
  <si>
    <t>пилотная эксплуатация; требует проверки: цена не подтверждена первоисточником</t>
  </si>
  <si>
    <t>Экономика: 0 из 40 — Экономика: 0 из 40 — нет данных для экономики: экономика процесса «Штучный отбор (товар к человеку)» в прототипе не рассчитывается; Данные: 1,7 из 20 — Данные: 2 из 20 — полнота карточки 65 % × подтверждено первоисточником 13 % характеристик; Зрелость: 9 из 15 — Зрелость: 9 из 15 — пилотная эксплуатация — засчитывается 0,6 от серийной; Запас: 15 из 15 — Запас: 15 из 15 — грузоподъёмность +1 567 % к массе груза (полный балл от +50 %); стационарное решение — проходы для проезда не нужны; Кейсы: 10 из 10 — Кейсы: 10 из 10 — есть опубликованные внедрения</t>
  </si>
  <si>
    <t>Воркер</t>
  </si>
  <si>
    <t>Недостаточно данных: нет ни производительности, ни скорости; Предназначен для процесса «Штучный отбор (товар к человеку)» на объекте типа «Склад»</t>
  </si>
  <si>
    <t>пилотная эксплуатация; требует проверки: цена не подтверждена первоисточником; полнота карточки 55 % (меньше 60 %)</t>
  </si>
  <si>
    <t>Производительность: Укажите производительность вручную или выберите решение с данными; Ставка RaaS: Услуга (RaaS) без ставки не рассчитывается: укажите ставку за робота в месяц (₽) или подставьте оценку по нормативу — она будет помечена как оценка; Грузоподъёмность: Уточните грузоподъёмность у производителя — без неё не проверить, повезёт ли робот груз 1,8 кг</t>
  </si>
  <si>
    <t>Экономика: 0 из 40 — Экономика: 0 из 40 — нет данных для экономики: экономика процесса «Штучный отбор (товар к человеку)» в прототипе не рассчитывается; Данные: 0,7 из 20 — Данные: 1 из 20 — полнота карточки 55 % × подтверждено первоисточником 6 % характеристик; Зрелость: 9 из 15 — Зрелость: 9 из 15 — пилотная эксплуатация — засчитывается 0,6 от серийной; Запас: 7,5 из 15 — Запас: 8 из 15 — грузоподъёмность не опубликована — засчитано 0,5; ширина проходов процессом не ограничивается; Кейсы: 10 из 10 — Кейсы: 10 из 10 — есть опубликованные внедрения</t>
  </si>
  <si>
    <t>Робот-комплектовщик</t>
  </si>
  <si>
    <t>Статус НИОКР — в расчёт не включается; Опытный образец; Статус «НИОКР» в каталоге — опытный образец, в расчёт не включается</t>
  </si>
  <si>
    <t>требует проверки: цена похожа на условную (типовое значение каталога); цена не подтверждена первоисточником; полнота карточки 52 % (меньше 60 %)</t>
  </si>
  <si>
    <t>Сортировка</t>
  </si>
  <si>
    <t>Ronavi SR (грузоподъемность до 50 кг)</t>
  </si>
  <si>
    <t>Предназначен для процесса «Сортировка» на объекте типа «Склад»; Грузоподъёмность 50 кг ≥ масса груза 1,8 кг (запас 2 678 %)</t>
  </si>
  <si>
    <t>Экономика: 0 из 40 — Экономика: 0 из 40 — нет данных для экономики: экономика процесса «Сортировка» в прототипе не рассчитывается; Данные: 9,4 из 20 — Данные: 9 из 20 — полнота карточки 94 % × подтверждено первоисточником 50 % характеристик; Зрелость: 15 из 15 — Зрелость: 15 из 15 — серийная эксплуатация; Запас: 15 из 15 — Запас: 15 из 15 — грузоподъёмность +2 678 %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</si>
  <si>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Ronavi SD (грузоподъемность до 10 кг)</t>
  </si>
  <si>
    <t>Предназначен для процесса «Сортировка» на объекте типа «Склад»; Грузоподъёмность 10 кг ≥ масса груза 1,8 кг (запас 456 %)</t>
  </si>
  <si>
    <t>пилотная эксплуатация; требует проверки: в источниках разные цены; цена не подтверждена первоисточником</t>
  </si>
  <si>
    <t>Экономика: 0 из 40 — Экономика: 0 из 40 — нет данных для экономики: экономика процесса «Сортировка» в прототипе не рассчитывается; Данные: 4,3 из 20 — Данные: 4 из 20 — полнота карточки 90 % × подтверждено первоисточником 24 % характеристик; Зрелость: 9 из 15 — Зрелость: 9 из 15 — пилотная эксплуатация — засчитывается 0,6 от серийной; Запас: 15 из 15 — Запас: 15 из 15 — грузоподъёмность +456 % к массе груза (полный балл от +50 %); ширина проходов процессом не ограничивается; Кейсы: 10 из 10 — Кейсы: 10 из 10 — есть опубликованные внедрения</t>
  </si>
  <si>
    <t>Инвентаризация</t>
  </si>
  <si>
    <t>Инвентаризатор AI Stock Counter 12M</t>
  </si>
  <si>
    <t>Предназначен для процесса «Инвентаризация» на объекте типа «Склад»</t>
  </si>
  <si>
    <t>Экономика: 0 из 40 — Экономика: 0 из 40 — нет данных для экономики: экономика процесса «Инвентаризация» в прототипе не рассчитывается; Данные: 0,7 из 20 — Данные: 1 из 20 — полнота карточки 65 % × подтверждено первоисточником 5 % характеристик; Зрелость: 15 из 15 — Зрелость: 15 из 15 — серийная эксплуатация; Запас: 7,5 из 15 — Запас: 8 из 15 — масса груза процессом не ограничивается; ширина прохода не опубликована — засчитано 0,5; Кейсы: 10 из 10 — Кейсы: 10 из 10 — есть опубликованные внедрения</t>
  </si>
  <si>
    <t>Робот инвентаризатор</t>
  </si>
  <si>
    <t>Недостаточно данных: нет ни производительности, ни скорости; Предназначен для процесса «Инвентаризация» на объекте типа «Склад»</t>
  </si>
  <si>
    <t>требует проверки: цена может быть годовой подпиской, а не ценой покупки; цена не подтверждена первоисточником</t>
  </si>
  <si>
    <t>Производительность: Укажите производительность вручную или выберите решение с данными; Ширина прохода: Уточните у производителя минимальную ширину прохода и разворота — без неё не проверить проходы объекта 2,8 м</t>
  </si>
  <si>
    <t>MARK 2 SE</t>
  </si>
  <si>
    <t>Предназначен для процесса «Уборка склада» на объекте типа «Склад»; Минимальная ширина прохода 1,2 м ≤ ширина проходов объекта 2,8 м</t>
  </si>
  <si>
    <t>Экономика: 0 из 40 — Экономика: 0 из 40 — нет данных для экономики: экономика процесса «Уборка склада» в прототипе не рассчитывается; Данные: 4,5 из 20 — Данные: 5 из 20 — полнота карточки 87 % × подтверждено первоисточником 26 % характеристик; Зрелость: 15 из 15 — Зрелость: 15 из 15 — серийная эксплуатация; Запас: 15 из 15 — Запас: 15 из 15 — масса груза процессом не ограничивается; проход шире нужного на 1,6 м (полный балл от 1 м); Кейсы: 10 из 10 — Кейсы: 10 из 10 — есть опубликованные внедрения</t>
  </si>
  <si>
    <t>Клинботикс 400 PRO</t>
  </si>
  <si>
    <t>Предназначен для процесса «Уборка склада» на объекте типа «Склад»; Минимальная ширина прохода 0,7 м ≤ ширина проходов объекта 2,8 м</t>
  </si>
  <si>
    <t>требует проверки: цена не подтверждена первоисточником; производительность не подтверждена первоисточником</t>
  </si>
  <si>
    <t>Экономика: 0 из 40 — Экономика: 0 из 40 — нет данных для экономики: экономика процесса «Уборка склада» в прототипе не рассчитывается; Данные: 1,8 из 20 — Данные: 2 из 20 — полнота карточки 81 % × подтверждено первоисточником 11 % характеристик; Зрелость: 15 из 15 — Зрелость: 15 из 15 — серийная эксплуатация; Запас: 15 из 15 — Запас: 15 из 15 — масса груза процессом не ограничивается; проход шире нужного на 2,1 м (полный балл от 1 м); Кейсы: 10 из 10 — Кейсы: 10 из 10 — есть опубликованные внедрения</t>
  </si>
  <si>
    <t>Клинботикс 600</t>
  </si>
  <si>
    <t>Предназначен для процесса «Уборка склада» на объекте типа «Склад»; Минимальная ширина прохода 0,75 м ≤ ширина проходов объекта 2,8 м</t>
  </si>
  <si>
    <t>Экономика: 0 из 40 — Экономика: 0 из 40 — нет данных для экономики: экономика процесса «Уборка склада» в прототипе не рассчитывается; Данные: 1,8 из 20 — Данные: 2 из 20 — полнота карточки 81 % × подтверждено первоисточником 11 % характеристик; Зрелость: 15 из 15 — Зрелость: 15 из 15 — серийная эксплуатация; Запас: 15 из 15 — Запас: 15 из 15 — масса груза процессом не ограничивается; проход шире нужного на 2,05 м (полный балл от 1 м); Кейсы: 10 из 10 — Кейсы: 10 из 10 — есть опубликованные внедрения</t>
  </si>
  <si>
    <t>АК-SC80</t>
  </si>
  <si>
    <t>Предназначен для процесса «Уборка склада» на объекте типа «Склад»</t>
  </si>
  <si>
    <t>требует проверки: производитель указан спорно; цена не подтверждена первоисточником; производительность не подтверждена первоисточником; полнота карточки 48 % (меньше 60 %)</t>
  </si>
  <si>
    <t>Экономика: 0 из 40 — Экономика: 0 из 40 — нет данных для экономики: экономика процесса «Уборка склада» в прототипе не рассчитывается; Данные: 0 из 20 — Данные: 0 из 20 — полнота карточки 48 % × подтверждено первоисточником 0 % характеристик; Зрелость: 15 из 15 — Зрелость: 15 из 15 — серийная эксплуатация; Запас: 7,5 из 15 — Запас: 8 из 15 — масса груза процессом не ограничивается; ширина прохода не опубликована — засчитано 0,5; Кейсы: 10 из 10 — Кейсы: 10 из 10 — есть опубликованные внедрения</t>
  </si>
  <si>
    <t>РУБИ-С-03</t>
  </si>
  <si>
    <t>требует проверки: кейс внедрения не подтверждён; цена не подтверждена первоисточником</t>
  </si>
  <si>
    <t>Экономика: 0 из 40 — Экономика: 0 из 40 — нет данных для экономики: экономика процесса «Уборка склада» в прототипе не рассчитывается; Данные: 0 из 20 — Данные: 0 из 20 — полнота карточки 74 % × подтверждено первоисточником 0 % характеристик; Зрелость: 15 из 15 — Зрелость: 15 из 15 — серийная эксплуатация; Запас: 7,5 из 15 — Запас: 8 из 15 — масса груза процессом не ограничивается; ширина прохода не опубликована — засчитано 0,5; Кейсы: 10 из 10 — Кейсы: 10 из 10 — есть опубликованные внедрения</t>
  </si>
  <si>
    <t>Unit</t>
  </si>
  <si>
    <t>Недостаточно данных: нет ни производительности, ни скорости; Предназначен для процесса «Уборка склада» на объекте типа «Склад»</t>
  </si>
  <si>
    <t>Экономика: 0 из 40 — Экономика: 0 из 40 — нет данных для экономики: экономика процесса «Уборка склада» в прототипе не рассчитывается; Данные: 1,3 из 20 — Данные: 1 из 20 — полнота карточки 71 % × подтверждено первоисточником 9 % характеристик; Зрелость: 9 из 15 — Зрелость: 9 из 15 — пилотная эксплуатация — засчитывается 0,6 от серийной; Запас: 7,5 из 15 — Запас: 8 из 15 — масса груза процессом не ограничивается; ширина прохода не опубликована — засчитано 0,5; Кейсы: 10 из 10 — Кейсы: 10 из 10 — есть опубликованные внедрения</t>
  </si>
  <si>
    <t>Astramis SurfexUnit</t>
  </si>
  <si>
    <t>требует проверки: цена не подтверждена первоисточником; полнота карточки 48 % (меньше 60 %)</t>
  </si>
  <si>
    <t>Сравнение решений по единым характеристикам</t>
  </si>
  <si>
    <t>Грузоподъёмность, кг</t>
  </si>
  <si>
    <t>Скорость, м/с</t>
  </si>
  <si>
    <t>Норма, ед./ч</t>
  </si>
  <si>
    <t>По циклу, ед./ч</t>
  </si>
  <si>
    <t>Принято, ед./ч</t>
  </si>
  <si>
    <t>Автономность, ч</t>
  </si>
  <si>
    <t>Зарядка, мин</t>
  </si>
  <si>
    <t>Мин. ширина прохода, м</t>
  </si>
  <si>
    <t>Роботов</t>
  </si>
  <si>
    <t>Зарядных станций</t>
  </si>
  <si>
    <t>Цена, ₽</t>
  </si>
  <si>
    <t>CAPEX покупки, ₽</t>
  </si>
  <si>
    <t>NPV покупки, ₽</t>
  </si>
  <si>
    <t>Окупаемость покупки, лет</t>
  </si>
  <si>
    <t>Ставка RaaS, ₽/мес</t>
  </si>
  <si>
    <t>Полнота карточки, %</t>
  </si>
  <si>
    <t>Единица потока</t>
  </si>
  <si>
    <t>Спрос в сутки</t>
  </si>
  <si>
    <t>Средний поток, ед./ч</t>
  </si>
  <si>
    <t>Пиковый поток, ед./ч</t>
  </si>
  <si>
    <t>Источник производительности</t>
  </si>
  <si>
    <t>Плечо с грузом, м</t>
  </si>
  <si>
    <t>Порожнее плечо, м</t>
  </si>
  <si>
    <t>Роботов (точно)</t>
  </si>
  <si>
    <t>Число задано вручную</t>
  </si>
  <si>
    <t>Охват пикового спроса, %</t>
  </si>
  <si>
    <t>Постов диспетчера</t>
  </si>
  <si>
    <t>Численность персонала, чел.</t>
  </si>
  <si>
    <t>Высвобождается ставок</t>
  </si>
  <si>
    <t>ФОТ как есть, ₽/год</t>
  </si>
  <si>
    <t>ФОТ оставшегося персонала, ₽/год</t>
  </si>
  <si>
    <t>Персонал эксплуатации, ₽/год</t>
  </si>
  <si>
    <t>Примечание</t>
  </si>
  <si>
    <t>паллет/ч</t>
  </si>
  <si>
    <t>цикл</t>
  </si>
  <si>
    <t>Статья</t>
  </si>
  <si>
    <t>Сумма, ₽</t>
  </si>
  <si>
    <t>Формула</t>
  </si>
  <si>
    <t>Подстановка</t>
  </si>
  <si>
    <t>Происхождение</t>
  </si>
  <si>
    <t>Итого CAPEX</t>
  </si>
  <si>
    <t>Оборудование (роботы)</t>
  </si>
  <si>
    <t>N × цена робота</t>
  </si>
  <si>
    <t>14 × 2 700 000 ₽</t>
  </si>
  <si>
    <t>Базовые данные</t>
  </si>
  <si>
    <t>Зарядные станции</t>
  </si>
  <si>
    <t>C × цена зарядной станции</t>
  </si>
  <si>
    <t>1 × 300 000 ₽</t>
  </si>
  <si>
    <t>Открытый источник</t>
  </si>
  <si>
    <t>Инфраструктура площадки (разметка, Wi-Fi)</t>
  </si>
  <si>
    <t>площадь активной зоны × удельная стоимость инфраструктуры (для мобильных роботов)</t>
  </si>
  <si>
    <t>10 000 м² × 150 ₽/м²</t>
  </si>
  <si>
    <t>ПО управления парком</t>
  </si>
  <si>
    <t>разовая цена ПО из карточки продукта, иначе норматив на объект</t>
  </si>
  <si>
    <t>1 000 000 ₽ (карточка Ronavi H1500 (грузоподъемность до 1 500 кг))</t>
  </si>
  <si>
    <t>Интеграция с WMS/ERP</t>
  </si>
  <si>
    <t>стоимость внедрения из карточки продукта, иначе норматив на объект</t>
  </si>
  <si>
    <t>1 250 000 ₽ (карточка Ronavi H1500 (грузоподъемность до 1 500 кг))</t>
  </si>
  <si>
    <t>Пусконаладка</t>
  </si>
  <si>
    <t>N × пусконаладка на один робот</t>
  </si>
  <si>
    <t>14 × 100 000 ₽</t>
  </si>
  <si>
    <t>Открытый источник (аналог: Вейбот Роботикс (Клинботикс))</t>
  </si>
  <si>
    <t>Обучение персонала</t>
  </si>
  <si>
    <t>стоимость обучения из карточки продукта, иначе норматив на объект</t>
  </si>
  <si>
    <t>150 000 ₽ (норматив на объект)</t>
  </si>
  <si>
    <t>Резерв (10 %)</t>
  </si>
  <si>
    <t>доля резерва CAPEX × сумма остальных статей CAPEX</t>
  </si>
  <si>
    <t>10 % × 43 400 000 ₽</t>
  </si>
  <si>
    <t>входит в подписку</t>
  </si>
  <si>
    <t>Наш выбор (входит в подписку (допущение — проверить в договоре))</t>
  </si>
  <si>
    <t>входит в подписку (допущение — проверить в договоре)</t>
  </si>
  <si>
    <t>10 % × 1 400 000 ₽</t>
  </si>
  <si>
    <t>ФОТ персонала процессов («Как есть»)</t>
  </si>
  <si>
    <t>Σ численность × c по процессам охвата сравнения</t>
  </si>
  <si>
    <t>25 × 1 874 880 ₽ = 46 872 000 ₽</t>
  </si>
  <si>
    <t>Итого OPEX в год</t>
  </si>
  <si>
    <t>Сервисное обслуживание</t>
  </si>
  <si>
    <t>N × сервис за робота в год (из карточки продукта, иначе доля сервиса × цена)</t>
  </si>
  <si>
    <t>14 × 300 000 ₽</t>
  </si>
  <si>
    <t>Лицензии ПО</t>
  </si>
  <si>
    <t>годовая плата за ПО из карточки продукта (на объект), иначе 0</t>
  </si>
  <si>
    <t>годовая плата за ПО не опубликована — принято 0</t>
  </si>
  <si>
    <t>Оценка (проверить в договоре: годовая лицензия может быть платной)</t>
  </si>
  <si>
    <t>Электроэнергия</t>
  </si>
  <si>
    <t>N × средняя мощность робота × Hгод × U × тариф</t>
  </si>
  <si>
    <t>14 × 0,4 кВт × 8 030 ч × 0,775 × 9 ₽/кВт·ч</t>
  </si>
  <si>
    <t>Связь и сеть</t>
  </si>
  <si>
    <t>N × связь на один робот в год</t>
  </si>
  <si>
    <t>14 × 12 000 ₽</t>
  </si>
  <si>
    <t>Расходные материалы</t>
  </si>
  <si>
    <t>N × расходники за робота в год (из карточки продукта, иначе доля × цена)</t>
  </si>
  <si>
    <t>14 × 1 % × 2 700 000 ₽</t>
  </si>
  <si>
    <t>Ремонт вне сервисного договора</t>
  </si>
  <si>
    <t>доля ремонта в год × стоимость оборудования</t>
  </si>
  <si>
    <t>2 % × 37 800 000 ₽</t>
  </si>
  <si>
    <t>Замена АКБ (в среднем за год)</t>
  </si>
  <si>
    <t>N × стоимость комплекта АКБ / срок замены; в денежном потоке — замена по возрасту оборудования, новая техника включает новую АКБ</t>
  </si>
  <si>
    <t>14 × 10 % × 2 700 000 ₽ / 4 г.</t>
  </si>
  <si>
    <t>Персонал эксплуатации (диспетчер парка)</t>
  </si>
  <si>
    <t>посты = ⌈N / роботов на пост⌉; посты × Hсут × дней в году / фонд ставки в год × c</t>
  </si>
  <si>
    <t>1 пост × 22 ч × 365 дн. / 1 973 ч × 1 874 880 ₽</t>
  </si>
  <si>
    <t>ФОТ оставшегося персонала процесса</t>
  </si>
  <si>
    <t>ФОТост = H × c − F × c × μ</t>
  </si>
  <si>
    <t>25 × 1 874 880 ₽ − 11,875 × 1 874 880 ₽ × 1</t>
  </si>
  <si>
    <t>Расчёт (Оценочная доля денежной реализации высвобождаемого ФОТ: 100 %; FTE — трудоёмкость, не сокращённый штат)</t>
  </si>
  <si>
    <t>Подписка RaaS</t>
  </si>
  <si>
    <t>N × 12 × ставка за робота в месяц</t>
  </si>
  <si>
    <t>14 × 12 × 100 000 ₽</t>
  </si>
  <si>
    <t>Открытый источник (ставка «от» — нижняя граница)</t>
  </si>
  <si>
    <t>Денежный поток по сценариям (год 0 — вложения; суммы в ₽)</t>
  </si>
  <si>
    <t>Эффект года = OPEX «Как есть» − OPEX года; поток = эффект − докупка; NPV, ROI и TCO — формулы от ячеек таблицы.</t>
  </si>
  <si>
    <t>Сценарий: Как есть</t>
  </si>
  <si>
    <t>Ставка дисконтирования</t>
  </si>
  <si>
    <t>Горизонт расчёта H, лет</t>
  </si>
  <si>
    <t>Горизонт TCO T, лет</t>
  </si>
  <si>
    <t>OPEX «Как есть» по охвату сравнения, ₽/год</t>
  </si>
  <si>
    <t>OPEX сценария в среднем за год, ₽/год</t>
  </si>
  <si>
    <t>Год</t>
  </si>
  <si>
    <t>CAPEX, ₽</t>
  </si>
  <si>
    <t>OPEX, ₽</t>
  </si>
  <si>
    <t>АКБ, ₽</t>
  </si>
  <si>
    <t>Докупка, ₽</t>
  </si>
  <si>
    <t>Эффект, ₽</t>
  </si>
  <si>
    <t>Поток, ₽</t>
  </si>
  <si>
    <t>Накопленный поток, ₽</t>
  </si>
  <si>
    <t>Дисконтированный поток, ₽</t>
  </si>
  <si>
    <t>Годовой эффект в среднем, ₽/год</t>
  </si>
  <si>
    <t>Окупаемость, ROI, NPV</t>
  </si>
  <si>
    <t>не применимо: сценарий «Как есть» без вложений</t>
  </si>
  <si>
    <t>TCO за 5 лет, ₽</t>
  </si>
  <si>
    <t>TCO «Как есть» за 5 лет, ₽</t>
  </si>
  <si>
    <t>Сценарий: Покупка</t>
  </si>
  <si>
    <t>Простой срок окупаемости, лет</t>
  </si>
  <si>
    <t>ROI валовый за 5 лет, %</t>
  </si>
  <si>
    <t>ROI чистый (ROI валовый − 100 %), %</t>
  </si>
  <si>
    <t>NPV за 5 лет, ₽</t>
  </si>
  <si>
    <t>Дисконтированная окупаемость, лет</t>
  </si>
  <si>
    <t>Изменение TCO к «Как есть», ₽</t>
  </si>
  <si>
    <t>Сценарий: RaaS</t>
  </si>
  <si>
    <t>База</t>
  </si>
  <si>
    <t>Нижняя граница</t>
  </si>
  <si>
    <t>Верхняя граница</t>
  </si>
  <si>
    <t>Источник границ</t>
  </si>
  <si>
    <t>NPV при нижней, ₽</t>
  </si>
  <si>
    <t>NPV при верхней, ₽</t>
  </si>
  <si>
    <t>Размах, ₽</t>
  </si>
  <si>
    <t>Окупаемость при нижней, лет</t>
  </si>
  <si>
    <t>Окупаемость при верхней, лет</t>
  </si>
  <si>
    <t>TCO при нижней, ₽</t>
  </si>
  <si>
    <t>TCO при верхней, ₽</t>
  </si>
  <si>
    <t>Смена знака NPV</t>
  </si>
  <si>
    <t>Численность операторов погрузчиков</t>
  </si>
  <si>
    <t>типовой диапазон</t>
  </si>
  <si>
    <t>Горизонт расчёта</t>
  </si>
  <si>
    <t>Зарплата оператора погрузчика</t>
  </si>
  <si>
    <t>₽/мес</t>
  </si>
  <si>
    <t>Доля автоматизируемого труда</t>
  </si>
  <si>
    <t>доля</t>
  </si>
  <si>
    <t>норматив</t>
  </si>
  <si>
    <t>⚠ да</t>
  </si>
  <si>
    <t>Цена робота</t>
  </si>
  <si>
    <t>₽</t>
  </si>
  <si>
    <t>±20 %</t>
  </si>
  <si>
    <t>доля в год</t>
  </si>
  <si>
    <t>Сервис, ₽/год за робота</t>
  </si>
  <si>
    <t>₽/год</t>
  </si>
  <si>
    <t>Пиковый коэффициент</t>
  </si>
  <si>
    <t>коэф.</t>
  </si>
  <si>
    <t>Коэффициент загрузки</t>
  </si>
  <si>
    <t>Производительность робота</t>
  </si>
  <si>
    <t>Объём паллет</t>
  </si>
  <si>
    <t>Ставка RaaS</t>
  </si>
  <si>
    <t>Рассчитано, пал./ч</t>
  </si>
  <si>
    <t>Достигнуто, пал./ч</t>
  </si>
  <si>
    <t>Загрузка парка, %</t>
  </si>
  <si>
    <t>Простой, %</t>
  </si>
  <si>
    <t>Зарядка, %</t>
  </si>
  <si>
    <t>Ожидание у точек, %</t>
  </si>
  <si>
    <t>Очередь, макс.</t>
  </si>
  <si>
    <t>Ожидание p95, мин</t>
  </si>
  <si>
    <t>Узкое место</t>
  </si>
  <si>
    <t>Вердикт</t>
  </si>
  <si>
    <t>Расчёт подтверждён имитацией (парк избыточен)</t>
  </si>
  <si>
    <t>Роботов в прогоне</t>
  </si>
  <si>
    <t>Загрузка в расчёте, %</t>
  </si>
  <si>
    <t>Обслужено заданий пика, %</t>
  </si>
  <si>
    <t>Минимальный устойчивый парк</t>
  </si>
  <si>
    <t>Парк по паспортной норме</t>
  </si>
  <si>
    <t>Вердикт при парке по норме</t>
  </si>
  <si>
    <t>Не подтверждён</t>
  </si>
  <si>
    <t>Зерно генератора</t>
  </si>
  <si>
    <t>Группа</t>
  </si>
  <si>
    <t>Норматив</t>
  </si>
  <si>
    <t>Ключ</t>
  </si>
  <si>
    <t>Значение в расчёте</t>
  </si>
  <si>
    <t>Мин</t>
  </si>
  <si>
    <t>Макс</t>
  </si>
  <si>
    <t>Обоснование</t>
  </si>
  <si>
    <t>Режим и загрузка</t>
  </si>
  <si>
    <t>Коэффициент загрузки робота</t>
  </si>
  <si>
    <t>utilization</t>
  </si>
  <si>
    <t>Легенда демо-набора задаёт типовой KPI загрузки AMR 70–85 % и оговаривает, что он уже учитывает зарядку, простои и ожидание. Середина диапазона 0,775 — наш выбор внутри этого интервала; границы 0,70 и 0,85 используются в анализе чувствительности.</t>
  </si>
  <si>
    <t>Демо-набор данных › легенда «Коэффициент загрузки AMR» 70–85 %</t>
  </si>
  <si>
    <t>Коэффициент доступности робота</t>
  </si>
  <si>
    <t>availability</t>
  </si>
  <si>
    <t>Типовая загрузка уже учитывает зарядку и простои. Чтобы не учесть их дважды, доступность по умолчанию равна 1; снижать её имеет смысл только при известных простоях сверх тех, что заложены в загрузку (например, плановое обслуживание в рабочие смены).</t>
  </si>
  <si>
    <t>Формула: 1 (простои и зарядка уже внутри типового коэффициента загрузки)</t>
  </si>
  <si>
    <t>Резерв парка сверх пиковой потребности</t>
  </si>
  <si>
    <t>reservePct</t>
  </si>
  <si>
    <t>Легенда демо-набора требует рассчитывать роботов на пиковую нагрузку с резервом 15–20 %. Середина 17,5 % — наш выбор внутри этого интервала.</t>
  </si>
  <si>
    <t>Демо-набор данных › легенда «Пиковая нагрузка» резерв 15–20 %</t>
  </si>
  <si>
    <t>Доля скорости при движении с грузом</t>
  </si>
  <si>
    <t>loadedSpeedFactor</t>
  </si>
  <si>
    <t>Паспортная скорость обычно указывается без уточнения загрузки, а с паллетой робот движется медленнее по требованиям безопасности. Опубликованной доли нет, 0,8 — оценка; при 1,0 цикл считается по паспортной скорости в обе стороны.</t>
  </si>
  <si>
    <t>Время захвата или постановки груза: подъёмный AMR</t>
  </si>
  <si>
    <t>handlingSecJacking</t>
  </si>
  <si>
    <t>с</t>
  </si>
  <si>
    <t>Подъёмный робот подъезжает под паллету и поднимает её платформой; производители время операции не публикуют. 20 секунд на захват и столько же на постановку — оценка порядка величины, входит в расчёт цикла дважды.</t>
  </si>
  <si>
    <t>Время захвата или постановки груза: вилочный робот</t>
  </si>
  <si>
    <t>handlingSecFork</t>
  </si>
  <si>
    <t>Вилочному роботу нужно выровняться по паллете, ввести вилы и поднять груз, поэтому операция дольше, чем у подъёмного AMR. Опубликованных значений нет, 45 секунд — оценка.</t>
  </si>
  <si>
    <t>Время сцепки или расцепки: тягач</t>
  </si>
  <si>
    <t>handlingSecTug</t>
  </si>
  <si>
    <t>Тягач цепляет и отцепляет тележки или прицепы; время операции производители не публикуют. 30 секунд — оценка порядка величины между подъёмным и вилочным роботом.</t>
  </si>
  <si>
    <t>Запас по числу зарядных станций</t>
  </si>
  <si>
    <t>chargerSafetyFactor</t>
  </si>
  <si>
    <t>Роботы уходят на зарядку не строго по очереди: несколько из них могут разрядиться одновременно. Средняя доля времени на зарядке умножается на 1,5, чтобы очередь к станциям не становилась узким местом; значение проверяется имитацией (узкое место «зарядные станции»).</t>
  </si>
  <si>
    <t>Роботов на одну зарядную станцию (если нет данных о зарядке)</t>
  </si>
  <si>
    <t>robotsPerChargerDefault</t>
  </si>
  <si>
    <t>Применяется только когда у продукта не опубликованы автономность или время зарядки и долю времени на зарядке посчитать нельзя. Одна станция на пять роботов — оценка; расчёт с данными производителя всегда предпочтительнее.</t>
  </si>
  <si>
    <t>Мощность одной зарядной станции</t>
  </si>
  <si>
    <t>chargerPowerKw</t>
  </si>
  <si>
    <t>Нужна только для проверки лимита электроснабжения объекта (если станции × мощность &gt; доступной мощности, в рисках сценария появляется предупреждение). Паспортная мощность станций в найденных данных не публикуется, 3 кВт — оценка порядка величины.</t>
  </si>
  <si>
    <t>Труд</t>
  </si>
  <si>
    <t>Коэффициент начислений на ФОТ</t>
  </si>
  <si>
    <t>payrollMultiplier</t>
  </si>
  <si>
    <t>Коэффициент начислений 30,2 % (страховые взносы, стандартная ставка 2024–2025) задан в демо-наборе и фиксирован для всех трёх типов объектов, поэтому не редактируется.</t>
  </si>
  <si>
    <t>Демо-набор данных › легенда «ФОТ» 30,2 %</t>
  </si>
  <si>
    <t>Доля труда процесса, которую берут роботы</t>
  </si>
  <si>
    <t>laborShareAutomatable</t>
  </si>
  <si>
    <t>Роботы берут горизонтальную транспортировку; размещение на верхние ярусы при потолке 10 м остаётся за погрузчиками. Какую долю работы водителей погрузчиков составляет горизонтальная перевозка, в исходных данных нет, поэтому 0,5 — оценка, а диапазон 0,3–0,7 входит в анализ чувствительности.</t>
  </si>
  <si>
    <t>Роботов на один пост диспетчера парка</t>
  </si>
  <si>
    <t>robotsPerOperatorPost</t>
  </si>
  <si>
    <t>Один диспетчер парка в смену следит за роботами, разбирает остановки и вызывает сервис. Сколько роботов он удерживает, производители не публикуют; 20 — оценка. Персонал эксплуатации считается физически (посты × часы работы), а не процентом от экономии.</t>
  </si>
  <si>
    <t>Годовой фонд рабочего времени одной ставки</t>
  </si>
  <si>
    <t>annualHoursPerFte</t>
  </si>
  <si>
    <t>Норма часов производственного календаря при 40-часовой неделе — уточнить по календарю года. Нужна, чтобы перевести круглосуточные посты диспетчеров в число ставок: посты × часы работы объекта в год ÷ фонд одной ставки.</t>
  </si>
  <si>
    <t>Резерв CAPEX</t>
  </si>
  <si>
    <t>capexReservePct</t>
  </si>
  <si>
    <t>Легенда демо-набора включает в CAPEX резерв 10 %. Мы читаем его как 10 % от суммы остальных статей и показываем это в расчёте. Диапазон 5–20 % — наш, он ограничивает правку администратором.</t>
  </si>
  <si>
    <t>Демо-набор данных › легенда «CAPEX» резерв 10 %</t>
  </si>
  <si>
    <t>ПО управления парком (разово на объект)</t>
  </si>
  <si>
    <t>softwareRubPerSite</t>
  </si>
  <si>
    <t>Ronavi публикует тариф на ПО управления группой роботов (RMS): «Стоимость одной установки ПО — 1 млн рублей». Применяется, когда у продукта нет своей цены ПО; для других производителей это аналог (пометка «аналог: Ronavi»).</t>
  </si>
  <si>
    <t>Ronavi Robotics, «Информация о ПО», тарифная политика; https://ronavi-robotics.ru/software-information</t>
  </si>
  <si>
    <t>Интеграция с WMS/ERP (разово на объект)</t>
  </si>
  <si>
    <t>integrationRubPerSite</t>
  </si>
  <si>
    <t>Ronavi: «Стоимость внедрения RMS и интеграции обычно составляет от 500 тыс. до 2 млн рублей в зависимости от масштаба проекта». Середина 1,25 млн ₽ — наш выбор внутри опубликованного диапазона; для других производителей это аналог.</t>
  </si>
  <si>
    <t>Ronavi Robotics, статья «Как считать стоимость владения (TCO)»; https://ronavi-robotics.ru/media/tpost/l8s0fty3m1-kak-schitat-stoimost-vladeniya-tco-logis</t>
  </si>
  <si>
    <t>Пусконаладка на один робот</t>
  </si>
  <si>
    <t>commissioningRubPerUnit</t>
  </si>
  <si>
    <t>Вейбот Роботикс публикует «Пусконаладка от 100 000 ₽ для Cleanbotics 400 PRO и от 150 000 ₽ для Cleanbotics 600». Берём нижнюю опубликованную цену пусконаладки за робота; для складских AMR это аналог, цена конкретного интегратора может быть выше.</t>
  </si>
  <si>
    <t>Вейбот Роботикс (Клинботикс), страница «Покупка и аренда»; https://waybotrobotics.com/buy-rent</t>
  </si>
  <si>
    <t>Обучение персонала (разово на объект)</t>
  </si>
  <si>
    <t>trainingRubPerSite</t>
  </si>
  <si>
    <t>Отдельную цену обучения производители не публикуют: Вейбот включает инструктаж в пусконаладку, R2Б — в аренду. 150 000 ₽ — оценка порядка величины для обучения диспетчеров и операторов на объекте.</t>
  </si>
  <si>
    <t>Зарядная станция (за штуку)</t>
  </si>
  <si>
    <t>chargerRub</t>
  </si>
  <si>
    <t>Ronavi в статье о стоимости владения: «зарядные станции (200−400 тыс. рублей каждая)». Середина 300 000 ₽ — наш выбор внутри опубликованного диапазона; дилер Stellmart продаёт станцию Ronavi Charger «от 360 000 руб.» (https://stellmart.ru/logisticheskie-roboty/ronavi-h1500/). Та же статья называет цену H1500 «около 2-3 млн рублей при покупке с учетом зарядных станций и прочей инфраструктуры», а у дилера робот («от 2 700 000 руб.», как в каталоге) и станция продаются отдельно. Поэтому станции — отдельная строка CAPEX; входят ли они в цену робота, проверяется по коммерческому предложению.</t>
  </si>
  <si>
    <t>Ronavi Robotics, статья «Как считать стоимость владения (TCO)»; дилер Stellmart, карточка Ronavi H1500 — https://stellmart.ru/logisticheskie-roboty/ronavi-h1500/; https://ronavi-robotics.ru/media/tpost/l8s0fty3m1-kak-schitat-stoimost-vladeniya-tco-logis</t>
  </si>
  <si>
    <t>Инфраструктура площадки на 1 м² активной зоны</t>
  </si>
  <si>
    <t>siteInfraRubPerM2</t>
  </si>
  <si>
    <t>₽/м²</t>
  </si>
  <si>
    <t>Разметка пола, точки доступа Wi-Fi и навигационные метки на активной зоне. Удельной цены в открытых источниках нет, 150 ₽/м² — оценка; перестройка стеллажей и лифты сюда не входят и отмечаются отдельными рисками.</t>
  </si>
  <si>
    <t>OPEX</t>
  </si>
  <si>
    <t>Сервисное обслуживание в год, доля цены робота</t>
  </si>
  <si>
    <t>servicePctOfPriceYear</t>
  </si>
  <si>
    <t>Три заявления производителей: Ronavi — «от 10 % стоимости проекта в год»; R2Б — обслуживание MARK 2 SE около 20 000 ₽/мес (≈240 000 ₽/год, ≈12,6 % цены 1,9 млн ₽); Вейбот — 30 000 ₽/мес (360 000 ₽/год, 15,6–24 % цены 2,31 и 1,5 млн ₽); цены роботов — из каталога. Берём 12 % между Ronavi и R2Б; тариф Вейбот «под ключ» с еженедельным обслуживанием задаёт верхнюю границу. Применяется, когда у продукта нет своей цены сервиса.</t>
  </si>
  <si>
    <t>Ronavi Robotics, статья «Как считать стоимость владения (TCO)»; R2Б, статья в блоге об окупаемости MARK 2 SE — https://r2b.company/blog/promyshlennyy-robot-uborschik-zachem-on-nuzhen-i-kak-rasschitat-okupaemost; Вейбот Роботикс, «Гарантия и сервис» — https://waybotrobotics.com/guarantee; цены роботов — каталог; https://ronavi-robotics.ru/media/tpost/l8s0fty3m1-kak-schitat-stoimost-vladeniya-tco-logis</t>
  </si>
  <si>
    <t>Ремонт вне сервисного договора в год, доля цены</t>
  </si>
  <si>
    <t>repairPctOfPriceYear</t>
  </si>
  <si>
    <t>Повреждения и износ, которые не покрывает сервисный договор (колёса, бамперы, датчики после столкновений). Опубликованных данных нет, 2 % цены в год — оценка; при договоре «под ключ» можно поставить 0.</t>
  </si>
  <si>
    <t>Расходные материалы в год, доля цены</t>
  </si>
  <si>
    <t>consumablesPctOfPriceYear</t>
  </si>
  <si>
    <t>Легенда демо-набора включает расходники в OPEX, но величины не даёт. 1 % цены робота в год — оценка для складского AMR без щёток и фильтров; у уборочных роботов доля выше.</t>
  </si>
  <si>
    <t>Замена АКБ, раз в</t>
  </si>
  <si>
    <t>batteryReplacementYears</t>
  </si>
  <si>
    <t>Легенда демо-набора указывает в составе OPEX замену АКБ примерно раз в 3–5 лет. Середина 4 года — наш выбор внутри интервала; если производитель публикует свой срок, берётся он.</t>
  </si>
  <si>
    <t>Демо-набор данных › легенда «OPEX» замена АКБ ~раз в 3–5 лет</t>
  </si>
  <si>
    <t>Стоимость комплекта АКБ, доля цены робота</t>
  </si>
  <si>
    <t>batteryCostPctOfPrice</t>
  </si>
  <si>
    <t>Цена АКБ не публикуется ни одним из найденных производителей. 10 % цены робота — оценка для расчёта замены АКБ; при известной цене комплекта у продукта берётся она.</t>
  </si>
  <si>
    <t>Средняя потребляемая мощность робота в работе</t>
  </si>
  <si>
    <t>robotAvgPowerKw</t>
  </si>
  <si>
    <t>Среднюю потребляемую мощность паллетных AMR производители в найденных открытых данных не публикуют. 0,4 кВт — оценка средней мощности с учётом движения с паллетой; уточняется по паспорту робота или замеру на объекте.</t>
  </si>
  <si>
    <t>Тариф на электроэнергию</t>
  </si>
  <si>
    <t>electricityRubPerKwh</t>
  </si>
  <si>
    <t>₽/кВт·ч</t>
  </si>
  <si>
    <t>Тариф для юридических лиц зависит от региона, уровня напряжения и ценовой категории. 9 ₽/кВт·ч — оценка порядка величины; уточняется по договору энергоснабжения объекта.</t>
  </si>
  <si>
    <t>Связь и сеть на один робот в год</t>
  </si>
  <si>
    <t>connectivityRubPerUnitYear</t>
  </si>
  <si>
    <t>Связь входит в OPEX, но ни демо-набор, ни производители цену не дают. 1 000 ₽ в месяц на робот (SIM-карта или доля обслуживания Wi-Fi, мониторинг) — оценка.</t>
  </si>
  <si>
    <t>Оценка ставки RaaS в месяц, доля цены робота</t>
  </si>
  <si>
    <t>raasMonthlyPctOfPrice</t>
  </si>
  <si>
    <t>доля в месяц</t>
  </si>
  <si>
    <t>Медиана отношения опубликованной месячной ставки RaaS к цене робота из каталога по четырём тарифам: Ronavi H1500 (от 100 000 ₽ при 2,7 млн ₽), R2Б MARK 2 SE (от 100 000 ₽ при 1,9 млн ₽), Клинботикс 400 PRO (100 000 ₽ при 1,5 млн ₽), Клинботикс 600 (120 000 ₽ при 2,31 млн ₽); у Клинботикс это ставка со второго месяца, первый месяц дороже (260 000 и 400 000 ₽). Подставляется только по явному действию пользователя, с пометкой «оценка» и предупреждением в рисках сценария.</t>
  </si>
  <si>
    <t>Ставки RaaS: Ronavi — https://robotrends.ru/robopedia/ronavi-robotics («от 100 тысяч рублей в месяц за одного робота»); R2Б — https://r2b.company/blog/promyshlennyy-robot-uborschik-zachem-on-nuzhen-i-kak-rasschitat-okupaemost, https://r2b.company/rent; Вейбот Роботикс (Клинботикс), «Покупка и аренда» — https://waybotrobotics.com/buy-rent; цены роботов — каталог; Формула: медиана(100 000/2 700 000; 100 000/1 900 000; 100 000/1 500 000; 120 000/2 310 000)</t>
  </si>
  <si>
    <t>Финансы</t>
  </si>
  <si>
    <t>discountRate</t>
  </si>
  <si>
    <t>Наш выбор</t>
  </si>
  <si>
    <t>Ставка дисконтирования 12 % — наш выбор, а не цитата. Отражает стоимость денег для частного покупателя оборудования в рублёвой экономике: она обязана быть выше безрисковой ставки, потому что проект автоматизации рискованнее гособлигаций. Правильное значение зависит от структуры капитала конкретного покупателя: если 12 % вам не подходит, подставьте свою ставку.</t>
  </si>
  <si>
    <t>Срок службы робота (если производитель не публикует)</t>
  </si>
  <si>
    <t>serviceLifeYearsDefault</t>
  </si>
  <si>
    <t>Срок службы производители публикуют редко: R2Б считает выгоду MARK 2 SE при сроке службы 5 лет, в паспорте робота «Пиксель» указано 7 лет. Берём 7 лет, как в модели v1; по истечении срока внутри горизонта TCO оборудование покупается заново.</t>
  </si>
  <si>
    <t>Минимальный горизонт TCO</t>
  </si>
  <si>
    <t>tcoMinYears</t>
  </si>
  <si>
    <t>Методика</t>
  </si>
  <si>
    <t>Методика требует считать TCO на горизонте не менее пяти лет, поэтому TCO считается за max(горизонт расчёта, 5 лет) даже при горизонте 3 года. Верхняя граница 30 лет защищает от опечатки при правке: денежные потоки считаются по годам.</t>
  </si>
  <si>
    <t>Методика расчёта › горизонт TCO</t>
  </si>
  <si>
    <t>Граница «быстрой» окупаемости</t>
  </si>
  <si>
    <t>paybackBandFastYears</t>
  </si>
  <si>
    <t>Методика задаёт настраиваемые интервалы окупаемости «до 3 лет, 3–5 лет и более 5 лет» и не строит рекомендацию только на жёстком пороге; интервал лишь описывает результат.</t>
  </si>
  <si>
    <t>Методика расчёта › интервалы окупаемости</t>
  </si>
  <si>
    <t>Граница «долгой» окупаемости</t>
  </si>
  <si>
    <t>paybackBandSlowYears</t>
  </si>
  <si>
    <t>Верхняя граница среднего интервала «3–5 лет»; окупаемость дольше описывается как «долгая», но сценарий не отбрасывается. Если правка сделает её меньше границы «быстрой», платформа поднимет её до этой границы, чтобы интервалы не перевернулись.</t>
  </si>
  <si>
    <t>Шаг чувствительности, если нет типового диапазона</t>
  </si>
  <si>
    <t>sensitivityDeltaPct</t>
  </si>
  <si>
    <t>Чувствительность считается минимум к трём параметрам, но её ширина не задана. Где есть типовой диапазон (min/max), берётся он; иначе ±20 % — наш выбор, достаточно широкий, чтобы показать смену знака, и не выходящий за правдоподобные значения.</t>
  </si>
  <si>
    <t>Минимальная доля обслуженных заданий для подтверждения</t>
  </si>
  <si>
    <t>simServedShareMin</t>
  </si>
  <si>
    <t>Имитация подтверждает парк, если за пиковое окно обслужено не менее 97 % поступивших заданий. Отраслевого стандарта нет; порог — наша оценка, допускающая хвост заданий, поступивших в последние минуты окна.</t>
  </si>
  <si>
    <t>Предельное ожидание задания (95-й перцентиль)</t>
  </si>
  <si>
    <t>simP95WaitMaxMin</t>
  </si>
  <si>
    <t>мин</t>
  </si>
  <si>
    <t>95 % заданий должны начинать выполняться не позже чем через 10 минут после поступления. Норматива нет; 10 минут — оценка допустимой задержки паллеты у ворот в пиковый час.</t>
  </si>
  <si>
    <t>Доля простоя, при которой парк избыточен</t>
  </si>
  <si>
    <t>simOversizedIdleShare</t>
  </si>
  <si>
    <t>Если даже в пик роботы простаивают 40 % времени и больше, парк избыточен и его стоит уменьшить. Порог — наша оценка; вместе с перебором минимального парка он показывает запас.</t>
  </si>
  <si>
    <t>Прогрев имитации на среднем потоке</t>
  </si>
  <si>
    <t>simWarmupMin</t>
  </si>
  <si>
    <t>Первые 15 минут поток идёт со средней интенсивностью, чтобы роботы разошлись по складу и заряд распределился; эти минуты в метрики не входят. Длительность — оценка. Граница 60 минут ограничивает правку, чтобы прогон в браузере не затягивался.</t>
  </si>
  <si>
    <t>Длительность пикового окна имитации</t>
  </si>
  <si>
    <t>simPeakMin</t>
  </si>
  <si>
    <t>Два часа на пиковом потоке: достаточно, чтобы проявились очередь и уход роботов на зарядку при автономности в несколько часов. Длительность — оценка. Границы 30–480 минут ограничивают правку: нулевое окно сделало бы достигнутый поток неопределённым (деление на длительность окна), а окно длиннее восьмичасовой смены затягивает прогон в браузере.</t>
  </si>
  <si>
    <t>Заряд, при котором робот уходит на зарядку</t>
  </si>
  <si>
    <t>chargeStartSoc</t>
  </si>
  <si>
    <t>Робот уходит на зарядку при 20 % заряда. Производители порог не публикуют, и он настраивается в системе управления парком; значение — оценка типовой настройки. Порог возврата всегда выше порога ухода минимум на 5 п.п., поэтому верхняя граница 0,95.</t>
  </si>
  <si>
    <t>Заряд, при котором робот возвращается в работу</t>
  </si>
  <si>
    <t>chargeStopSoc</t>
  </si>
  <si>
    <t>Робот возвращается в работу при 90 % заряда: последние проценты заряжаются медленнее. Порог настраивается в системе управления парком; значение — оценка типовой настройки. Если правка сделает его не выше порога ухода, платформа поднимет его до порога ухода + 5 п.п., иначе робот метался бы между работой и зарядкой.</t>
  </si>
  <si>
    <t>Подбор</t>
  </si>
  <si>
    <t>Вес фактора «Экономика» в балле подбора</t>
  </si>
  <si>
    <t>scoreWeightEcon</t>
  </si>
  <si>
    <t>Экономика — главный вопрос заказчика, поэтому NPV покупки весит больше всего. Веса балла — наш выбор; вклад каждого фактора показывается отдельно, чтобы с ранжированием можно было спорить по существу.</t>
  </si>
  <si>
    <t>Вес фактора «Данные» в балле подбора</t>
  </si>
  <si>
    <t>scoreWeightData</t>
  </si>
  <si>
    <t>Полнота и подтверждённость характеристик: продукт с неподтверждёнными числами не должен обгонять проверенный только за счёт оптимистичных данных. Вес — наш выбор.</t>
  </si>
  <si>
    <t>Вес фактора «Зрелость» в балле подбора</t>
  </si>
  <si>
    <t>scoreWeightMaturity</t>
  </si>
  <si>
    <t>Серийная эксплуатация надёжнее пилота: статус из каталога учитывается отдельным фактором. Вес — наш выбор.</t>
  </si>
  <si>
    <t>Вес фактора «Запас» в балле подбора</t>
  </si>
  <si>
    <t>scoreWeightMargin</t>
  </si>
  <si>
    <t>Запас по грузоподъёмности и ширине прохода: робот на пределе возможностей хуже переносит отклонения реального объекта от паспорта. Вес — наш выбор.</t>
  </si>
  <si>
    <t>Вес фактора «Кейсы» в балле подбора</t>
  </si>
  <si>
    <t>scoreWeightCases</t>
  </si>
  <si>
    <t>Наличие опубликованных внедрений: слабый, но полезный сигнал зрелости, поэтому вес наименьший. Вес — наш выбор; сумма весов равна 1. Если после правки сумма отличается от 1, платформа делит каждый вес на сумму, и балл остаётся в пределах 0–100; если все веса обнулены, берутся веса по умолчанию.</t>
  </si>
  <si>
    <t>Характеристика</t>
  </si>
  <si>
    <t>Подтверждено</t>
  </si>
  <si>
    <t>Дата</t>
  </si>
  <si>
    <t>Ссылка</t>
  </si>
  <si>
    <t>Где в источнике</t>
  </si>
  <si>
    <t>Производитель</t>
  </si>
  <si>
    <t>ООО "Ронави Роботикс"</t>
  </si>
  <si>
    <t>2026-09-22</t>
  </si>
  <si>
    <t>Каталог › №1, 66</t>
  </si>
  <si>
    <t>Наименование (модель)</t>
  </si>
  <si>
    <t>Тип решения</t>
  </si>
  <si>
    <t>AMR паллетный (подъёмный)</t>
  </si>
  <si>
    <t>2026-09-23</t>
  </si>
  <si>
    <t>Назначение</t>
  </si>
  <si>
    <t>Внутрискладская логистика; Внутрипроизводственная логистика</t>
  </si>
  <si>
    <t>Страна происхождения</t>
  </si>
  <si>
    <t>Россия</t>
  </si>
  <si>
    <t>https://ronavi-robotics.ru/catalogue/h1500</t>
  </si>
  <si>
    <t>Статус доступности</t>
  </si>
  <si>
    <t>в эксплуатации</t>
  </si>
  <si>
    <t>Грузоподъёмность</t>
  </si>
  <si>
    <t>до 1 500 кг</t>
  </si>
  <si>
    <t>Подборка примеров › Склад, Аэропорт › Ronavi H1500</t>
  </si>
  <si>
    <t>Габариты (Д × Ш × В)</t>
  </si>
  <si>
    <t>1044 × 654 × 380</t>
  </si>
  <si>
    <t>Скорость</t>
  </si>
  <si>
    <t>до 1,5 м/с</t>
  </si>
  <si>
    <t>Производительность</t>
  </si>
  <si>
    <t>80–100 паллет/ч (на робота)</t>
  </si>
  <si>
    <t>Автономность</t>
  </si>
  <si>
    <t>до 6 ч</t>
  </si>
  <si>
    <t>Точность позиционирования</t>
  </si>
  <si>
    <t>≈ 3 мм</t>
  </si>
  <si>
    <t>Навигация</t>
  </si>
  <si>
    <t>QR-метки, SLAM</t>
  </si>
  <si>
    <t>Условия эксплуатации</t>
  </si>
  <si>
    <t>+5…+25 °C, ровный промышленный пол</t>
  </si>
  <si>
    <t>Собственная масса</t>
  </si>
  <si>
    <t>250 кг</t>
  </si>
  <si>
    <t>Минимальная температура эксплуатации</t>
  </si>
  <si>
    <t>5 °C</t>
  </si>
  <si>
    <t>Максимальная температура эксплуатации</t>
  </si>
  <si>
    <t>25 °C</t>
  </si>
  <si>
    <t>Требования к полу</t>
  </si>
  <si>
    <t>перепады/препятствия на полу не более 5 мм (высота преодолеваемого препятствия)</t>
  </si>
  <si>
    <t>https://robob2b.ru/upload/iblock/2f5/ik7heolyu7ny1sqhromm4vxemfwe3632.pdf</t>
  </si>
  <si>
    <t>Минимальная ширина прохода</t>
  </si>
  <si>
    <t>0,75 м</t>
  </si>
  <si>
    <t>Время зарядки</t>
  </si>
  <si>
    <t>≈ 18 мин</t>
  </si>
  <si>
    <t>Связь</t>
  </si>
  <si>
    <t>Wi-Fi 5 ГГц 802.11 a/c/n; открытое API, полная совместимость с логистическими платформами (WMS)</t>
  </si>
  <si>
    <t>Интеграция (WMS/ERP, API)</t>
  </si>
  <si>
    <t>Цена оборудования</t>
  </si>
  <si>
    <t>2 700 000 ₽</t>
  </si>
  <si>
    <t>ПО (разово)</t>
  </si>
  <si>
    <t>1 000 000 ₽</t>
  </si>
  <si>
    <t>https://ronavi-robotics.ru/software-information</t>
  </si>
  <si>
    <t>Внедрение и интеграция</t>
  </si>
  <si>
    <t>500 000–2 000 000 ₽</t>
  </si>
  <si>
    <t>https://ronavi-robotics.ru/media/tpost/l8s0fty3m1-kak-schitat-stoimost-vladeniya-tco-logis</t>
  </si>
  <si>
    <t>≈ 300 000 ₽/год</t>
  </si>
  <si>
    <t>Модели приобретения</t>
  </si>
  <si>
    <t>покупка, лизинг, аренда / RaaS</t>
  </si>
  <si>
    <t>от 100 000 ₽/мес</t>
  </si>
  <si>
    <t>https://robotrends.ru/robopedia/ronavi-robotics</t>
  </si>
  <si>
    <t>5 лет, но только для Ronavi H2000 (этот PDF и есть паспорт H2000). Данных по H1500 на странице нет, в том числе про ≥2000 циклов.</t>
  </si>
  <si>
    <t>https://robob2b.ru/upload/iblock/a34/rbxhakrl7mzsarwb0sxjscpd2iwea2h1.pdf</t>
  </si>
  <si>
    <t>Процессы и типы объектов</t>
  </si>
  <si>
    <t>Перемещение паллет: приёмка → хранение → отгрузка (склад)</t>
  </si>
  <si>
    <t>Кейсы внедрения</t>
  </si>
  <si>
    <t>Внедрено 48 роботов на складах ГК «Восток-Сервис» для транспортировки грузов между зонами хранения. В результате производительность выросла вдвое - с 4 до 8 тысяч отгрузок за смену, количество ошибок…</t>
  </si>
  <si>
    <t>Основной источник</t>
  </si>
  <si>
    <t>Дата проверки</t>
  </si>
  <si>
    <t>Подтверждение</t>
  </si>
  <si>
    <t>9 из 31 подтверждены; строка сводной таблицы исследования: да</t>
  </si>
  <si>
    <t>Источники параметров объекта — на листе «Параметры объекта», нормативов — на листе «Нормативы и допущения».</t>
  </si>
  <si>
    <t>Пользователь</t>
  </si>
  <si>
    <t>Что изменено</t>
  </si>
  <si>
    <t>Авто</t>
  </si>
  <si>
    <t>Было</t>
  </si>
  <si>
    <t>Стало</t>
  </si>
  <si>
    <t>Причина</t>
  </si>
  <si>
    <t>Корректировок в журнале нет</t>
  </si>
  <si>
    <t>О расчёте</t>
  </si>
  <si>
    <t>Версии</t>
  </si>
  <si>
    <t>Версия данных проекта (по снимкам продуктов и нормативов)</t>
  </si>
  <si>
    <t>Текущий демо-набор данных</t>
  </si>
  <si>
    <t>2026-09-22#4be0fac8</t>
  </si>
  <si>
    <t>Текущий каталог</t>
  </si>
  <si>
    <t>2026-09-22#da43c64c</t>
  </si>
  <si>
    <t>Текущая подборка примеров решений</t>
  </si>
  <si>
    <t>2026-09-22#6e738822</t>
  </si>
  <si>
    <t>Исследование открытых источников</t>
  </si>
  <si>
    <t>сводная таблица от 23.09.2026 и 6 пакетов находок, зафиксировано 23.09.2026 21:13 UTC</t>
  </si>
  <si>
    <t>Как устроен файл</t>
  </si>
  <si>
    <t>Числа — результат расчёта платформы на момент выгрузки. Итоги CAPEX и OPEX, эффект и поток каждого года, окупаемость, ROI, NPV и TCO записаны живыми формулами Excel от ячеек таблиц: при изменении ячейки итоги пересчитываются.</t>
  </si>
  <si>
    <t>NPV записан как «поток года 0 + NPV(ставка; потоки лет 1…H)»: функция Excel NPV дисконтирует уже первое значение диапазона, поэтому вложения года 0 прибавляются отдельно.</t>
  </si>
  <si>
    <t>В русском Excel аргументы формул разделяются «;», а в файле хранятся через «,» — Excel покажет их сам.</t>
  </si>
  <si>
    <t>⚠ — решение добавлено в сравнение вручную, хотя подбор его исключил или не рекомендовал: проверьте причины и ограничения</t>
  </si>
  <si>
    <t>Формулы модели</t>
  </si>
  <si>
    <t>Единицы</t>
  </si>
  <si>
    <t>Источник формулы</t>
  </si>
  <si>
    <t>Часы работы объекта</t>
  </si>
  <si>
    <t>Hсут = смен в сутки × длительность смены (не более 24 ч); Hгод = Hсут × рабочих дней в году</t>
  </si>
  <si>
    <t>ч/сут; ч/год</t>
  </si>
  <si>
    <t>базовые данные</t>
  </si>
  <si>
    <t>Суточный спрос процесса</t>
  </si>
  <si>
    <t>Qсут = Σ объёмов процесса × (доля процесса / 100) × Π множителей × (1 − доля негабарита / 100)</t>
  </si>
  <si>
    <t>ед./сут</t>
  </si>
  <si>
    <t>наш выбор</t>
  </si>
  <si>
    <t>Пиковый часовой поток</t>
  </si>
  <si>
    <t>λср = Qсут / Hсут; λпик = λср × пиковый коэффициент</t>
  </si>
  <si>
    <t>ед./ч</t>
  </si>
  <si>
    <t>Паспортная производительность</t>
  </si>
  <si>
    <t>thrнорм = производительность из карточки продукта, если она на один робот или станцию, в единицах процесса и не «до X» (предел, а не типичное значение)</t>
  </si>
  <si>
    <t>Производительность по циклу на планировке объекта</t>
  </si>
  <si>
    <t>thrцикл = 3600 / (Lпорож / v + Lгруз / (v × kгруз) + 2 × tзахв)</t>
  </si>
  <si>
    <t>ед./ч; м; м/с; с</t>
  </si>
  <si>
    <t>Принятая производительность робота</t>
  </si>
  <si>
    <t>thrэфф = значение, заданное вами, иначе min(thrнорм; thrцикл) из известных</t>
  </si>
  <si>
    <t>Число роботов</t>
  </si>
  <si>
    <t>Nточн = λпик / (thrэфф × U × A) × (1 + резерв); N = значение, заданное вами, иначе max(1; ⌈Nточн⌉)</t>
  </si>
  <si>
    <t>типовая расчётная зависимость</t>
  </si>
  <si>
    <t>Доля пикового спроса, которую закрывает парк</t>
  </si>
  <si>
    <t>κ = min(1; N × thrэфф × U × A / λпик)</t>
  </si>
  <si>
    <t>Число зарядных станций</t>
  </si>
  <si>
    <t>C = max(1; ⌈N × tзар / (автономность × 60 + tзар) × kзапас⌉); без данных о зарядке C = max(1; ⌈N / роботов на станцию⌉); для стационарных решений C = 0</t>
  </si>
  <si>
    <t>Годовая стоимость одной ставки</t>
  </si>
  <si>
    <t>c = зарплата × 12 × коэффициент начислений на ФОТ</t>
  </si>
  <si>
    <t>ФОТ персонала процесса («Как есть»)</t>
  </si>
  <si>
    <t>ФОТбаз = численность × c</t>
  </si>
  <si>
    <t>Высвобождаемые ставки</t>
  </si>
  <si>
    <t>F = численность × доля автоматизируемого труда × (1 − доля негабарита / 100) × κ (негабарит перевозят только люди, поэтому он исключён и из спроса роботов, и из высвобождаемого труда — это не двойной учёт)</t>
  </si>
  <si>
    <t>ставок</t>
  </si>
  <si>
    <t>ФОТост = (численность − F) × c</t>
  </si>
  <si>
    <t>посты = ⌈N / роботов на пост⌉; ФОТэксп = посты × Hсут × дней в году / фонд ставки в год × c</t>
  </si>
  <si>
    <t>Резерв</t>
  </si>
  <si>
    <t>оборудование + зарядные станции + инфраструктура + ПО + интеграция + пусконаладка + обучение + резерв</t>
  </si>
  <si>
    <t>(численность − F) × c</t>
  </si>
  <si>
    <t>ФОТ процессов без роботов (охват сравнения)</t>
  </si>
  <si>
    <t>Σ ФОТбаз процессов охвата сравнения, которые этот сценарий не роботизирует</t>
  </si>
  <si>
    <t>OPEX за год</t>
  </si>
  <si>
    <t>сумма статей OPEX сценария</t>
  </si>
  <si>
    <t>Чистый годовой эффект</t>
  </si>
  <si>
    <t>E = OPEXкак есть − OPEXсценария (охват сравнения один для всех сценариев)</t>
  </si>
  <si>
    <t>Простой срок окупаемости</t>
  </si>
  <si>
    <t>PB = CAPEX / E при E &gt; 0</t>
  </si>
  <si>
    <t>ROI = Σ CFt (t = 1…H) / CAPEX × 100 %, при CAPEX &gt; 0</t>
  </si>
  <si>
    <t>ROIчист = ROI валовый − 100 % (доход сверх возврата вложений)</t>
  </si>
  <si>
    <t>Чистая приведённая стоимость (NPV)</t>
  </si>
  <si>
    <t>NPV = Σ CFt / (1 + r)^t, t = 0…H</t>
  </si>
  <si>
    <t>Дисконтированный срок окупаемости</t>
  </si>
  <si>
    <t>год, в котором накопленный дисконтированный поток становится неотрицательным и остаётся таким до конца горизонта H</t>
  </si>
  <si>
    <t>Совокупная стоимость владения (TCO)</t>
  </si>
  <si>
    <t>TCO = CAPEX + Σ (OPEXt + докупкаt), t = 1…T; T = max(H; минимальный горизонт TCO)</t>
  </si>
  <si>
    <t>Денежный поток года</t>
  </si>
  <si>
    <t>CF0 = −CAPEX; CFt = OPEXкак есть − OPEXt − докупкаt</t>
  </si>
  <si>
    <t>Замена АКБ в году t</t>
  </si>
  <si>
    <t>a = t mod срок службы; АКБt = N × стоимость комплекта, если a &gt; 0, a кратно сроку замены и t &lt; T; OPEXt = OPEX − АКБср + АКБt</t>
  </si>
  <si>
    <t>Докупка оборудования</t>
  </si>
  <si>
    <t>докупкаt = N × цена, если t кратно сроку службы и t &lt; T (только оборудование)</t>
  </si>
  <si>
    <t>Пороговая зарплата</t>
  </si>
  <si>
    <t>зарплата, при которой NPV покупки = 0; NPV линеен по зарплате, поэтому порог находится по двум расчётам</t>
  </si>
  <si>
    <t>Ограничения модели</t>
  </si>
  <si>
    <t>Аналитическая производительность по циклу рассчитана для свободного маршрута. Базовая 2D-имитация проверяет очереди к точкам и зарядке; отдельная пространственная 3D-проверка учитывает корпуса, встречное движение, защитные остановки и объезды. Её результат относится к указанным входу и версии модели; люди и тормозной путь не моделируются.</t>
  </si>
  <si>
    <t>Длина плеча перевозки рассчитана по маршрутам указанной планировки. Без явного плана используется типовая геометрия из активной площади и ширины проходов; переданный план использует собственные стены, препятствия и граф. Демонстрационная планировка не является обследованным объектом.</t>
  </si>
  <si>
    <t>Стоимость существующего парка погрузчиков и его обслуживания в исходных данных не задана, поэтому её экономия в эффект не входит — эффект занижен, оценка консервативна.</t>
  </si>
  <si>
    <t>Состав подписки RaaS принят по допущению: оборудование, зарядные станции, ПО, сервис, ремонт, расходники и замена АКБ входят в ставку; интеграция и обучение оплачиваются отдельно. Для полного внедрения принят договор на 12 месяцев с ежегодным продлением на весь расчётный период по неизменной месячной ставке, без выкупа оборудования. Это условия модели, не подтверждённый договор поставщика. Короткий пилот требует отдельного соглашения; его бюджет не означает согласия поставщика на помесячный пилот.</t>
  </si>
  <si>
    <t>Цены оборудования из каталога приняты с НДС. Пусконаладка и интеграция в цену не входят и считаются отдельными статьями CAPEX; доставка отдельной статьёй не выделена и учитывается только в резерве CAPEX (10 %).</t>
  </si>
  <si>
    <t>Часть статей CAPEX и OPEX — оценки или нормативы-аналоги другого производителя (пометка «аналог: …»); у каждой такой статьи показано происхождение и обоснование.</t>
  </si>
  <si>
    <t>Дополнительный доход и предотвращённые потери (брак, травматизм, текучесть персонала) в годовой эффект не включены — только сокращение текущих затрат за вычетом дополнительного OPEX.</t>
  </si>
  <si>
    <t>Налог на прибыль, амортизация, лизинг и инфляция не моделируются: денежные потоки считаются в ценах расчёта без индексации.</t>
  </si>
  <si>
    <t>Остаточная стоимость по умолчанию равна 0. Явно заданная чистая сумма от собственных активов учитывается один раз в конце TCO-периода T, уменьшает TCO и входит в NPV только при горизонте H ≥ T. Замены оборудования учитываются отдельно; переход через срок службы может менять NPV и вывод немонотонно. Цена продажи требует подтверждения.</t>
  </si>
  <si>
    <t>Экономика рассчитывается для перемещения паллет на складе; остальные процессы и типы объектов показаны на уровне параметров, подбора и доступных решений (прототип).</t>
  </si>
  <si>
    <t>Статья / условие</t>
  </si>
  <si>
    <t>Источник / допущение</t>
  </si>
  <si>
    <t>Состав и срок пилота</t>
  </si>
  <si>
    <t>2 роботов; 1 зарядок; 10 рабочих дней; покупка</t>
  </si>
  <si>
    <t>План сценария; оценка</t>
  </si>
  <si>
    <t>Граница проверки</t>
  </si>
  <si>
    <t>Пилот: 2 роботов, полный сценарий: 14. Выполнение нагрузки полного парка не доказано уменьшенным составом.</t>
  </si>
  <si>
    <t>Покупка оборудования пилота</t>
  </si>
  <si>
    <t>5 400 000 ₽</t>
  </si>
  <si>
    <t>2 × 2700000 ₽; catalog_export_v4.csv › №1, 66; значение из источника</t>
  </si>
  <si>
    <t>Зарядные станции пилота</t>
  </si>
  <si>
    <t>300 000 ₽</t>
  </si>
  <si>
    <t>1 × 300000 ₽; Общий норматив chargerRub финансовой модели; отдельная оценка поставки</t>
  </si>
  <si>
    <t>Развёртывание и настройка</t>
  </si>
  <si>
    <t>60 000 ₽</t>
  </si>
  <si>
    <t>Фиксированная оценка работ на участке пилота; Оценка команды для учебного участка от 17.10.2026; условия и смета требуют согласования интегратора</t>
  </si>
  <si>
    <t>Интеграция с процессом и системами</t>
  </si>
  <si>
    <t>80 000 ₽</t>
  </si>
  <si>
    <t>Обучение операторов</t>
  </si>
  <si>
    <t>20 000 ₽</t>
  </si>
  <si>
    <t>Доставка и обратная логистика</t>
  </si>
  <si>
    <t>45 000 ₽</t>
  </si>
  <si>
    <t>Подготовка участка, питание и связь</t>
  </si>
  <si>
    <t>25 000 ₽</t>
  </si>
  <si>
    <t>Замеры и разбор результатов</t>
  </si>
  <si>
    <t>15 000 ₽</t>
  </si>
  <si>
    <t>Известная часть сметы пилота</t>
  </si>
  <si>
    <t>5 945 000 ₽</t>
  </si>
  <si>
    <t>Сумма только заданных статей; не полный бюджет при наличии неизвестных</t>
  </si>
  <si>
    <t>Резерв пилота</t>
  </si>
  <si>
    <t>594 500 ₽</t>
  </si>
  <si>
    <t>10% от полной сметы</t>
  </si>
  <si>
    <t>Полный бюджет пилота</t>
  </si>
  <si>
    <t>6 539 500 ₽</t>
  </si>
  <si>
    <t>Смета оценочная, не коммерческое предложение. Неизвестные статьи не равны нулю. Для короткого RaaS-пилота предполагается отдельное соглашение с оплатой целыми месяцами; согласие поставщика и включённые услуги нужно подтвердить. Годовой договор полного внедрения автоматически не сокращается до срока пилота.</t>
  </si>
  <si>
    <t>Критерий успеха</t>
  </si>
  <si>
    <t>На участке завершать не меньше 12 операций/ч при составе 2 роботов.</t>
  </si>
  <si>
    <t>p95 ожидания до назначения ≤ 10 мин.</t>
  </si>
  <si>
    <t>Ручных вмешательств за смену ≤ 1; учитывать причину и длительность.</t>
  </si>
  <si>
    <t>Зафиксировать остановки, инциденты, доступность зарядки и фактическое время цикла; результаты сравнить с ручной базой.</t>
  </si>
  <si>
    <t>Готовность участка</t>
  </si>
  <si>
    <t>Подготовить: Зафиксированы участок, маршруты, проходы и зоны людей</t>
  </si>
  <si>
    <t>Подготовить: Согласованы питание и места зарядок</t>
  </si>
  <si>
    <t>Подготовить: Проверены связь и доступ к нужным системам</t>
  </si>
  <si>
    <t>Подготовить: Согласованы допуски, окна работ и доступ интегратора</t>
  </si>
  <si>
    <t>Подготовить: Снята исходная ручная выработка и трудозатраты</t>
  </si>
  <si>
    <t>Подготовить: Назначены ответственные, оператор и канал эскалации</t>
  </si>
  <si>
    <t>Подготовить: Согласованы остановка, инциденты и безопасное ограждение</t>
  </si>
  <si>
    <t>Остаточная стоимость сценария</t>
  </si>
  <si>
    <t>0 ₽</t>
  </si>
  <si>
    <t>Год 5; исключена из денежных потоков и NPV; Ручная оценка чистой суммы реализации собственных активов после налогов, демонтажа и вывоза; цена продажи не подтверждена. Не входит в бюджет пилота.</t>
  </si>
  <si>
    <t>Примечание пилота</t>
  </si>
  <si>
    <t>Учебный план участка: 2 робота из полного парка 14. Цель участка 12 операций/ч — отдельная оценка, не результат проверки мощности пилота.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</si>
</sst>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 &quot;₽&quot;"/>
    <numFmt numFmtId="165" formatCode="0.0"/>
    <numFmt numFmtId="166" formatCode="0.0 &quot;%&quot;"/>
    <numFmt numFmtId="167" formatCode="#,##0.0"/>
    <numFmt numFmtId="168" formatCode="0.0%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i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2" fillId="2" borderId="0" xfId="0" applyFont="1" applyFill="1" applyAlignment="1">
      <alignment vertical="center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4" fillId="3" borderId="0" xfId="0" applyFont="1" applyFill="1"/>
    <xf numFmtId="167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vertical="top"/>
    </xf>
    <xf numFmtId="168" fontId="0" fillId="0" borderId="0" xfId="0" applyNumberFormat="1" applyAlignment="1">
      <alignment vertical="top"/>
    </xf>
    <xf numFmtId="0" fontId="2" fillId="0" borderId="0" xfId="0" applyFont="1" applyAlignment="1">
      <alignment vertical="top" wrapText="1"/>
    </xf>
    <xf numFmtId="166" fontId="0" fillId="0" borderId="0" xfId="0" applyNumberFormat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ronavi-robotics.ru/catalogue/h1500" TargetMode="External"/><Relationship Id="rId2" Type="http://schemas.openxmlformats.org/officeDocument/2006/relationships/hyperlink" Target="https://robob2b.ru/upload/iblock/2f5/ik7heolyu7ny1sqhromm4vxemfwe3632.pdf" TargetMode="External"/><Relationship Id="rId3" Type="http://schemas.openxmlformats.org/officeDocument/2006/relationships/hyperlink" Target="https://ronavi-robotics.ru/catalogue/h1500" TargetMode="External"/><Relationship Id="rId4" Type="http://schemas.openxmlformats.org/officeDocument/2006/relationships/hyperlink" Target="https://ronavi-robotics.ru/catalogue/h1500" TargetMode="External"/><Relationship Id="rId5" Type="http://schemas.openxmlformats.org/officeDocument/2006/relationships/hyperlink" Target="https://ronavi-robotics.ru/catalogue/h1500" TargetMode="External"/><Relationship Id="rId6" Type="http://schemas.openxmlformats.org/officeDocument/2006/relationships/hyperlink" Target="https://ronavi-robotics.ru/software-information" TargetMode="External"/><Relationship Id="rId7" Type="http://schemas.openxmlformats.org/officeDocument/2006/relationships/hyperlink" Target="https://ronavi-robotics.ru/media/tpost/l8s0fty3m1-kak-schitat-stoimost-vladeniya-tco-logis" TargetMode="External"/><Relationship Id="rId8" Type="http://schemas.openxmlformats.org/officeDocument/2006/relationships/hyperlink" Target="https://ronavi-robotics.ru/media/tpost/l8s0fty3m1-kak-schitat-stoimost-vladeniya-tco-logis" TargetMode="External"/><Relationship Id="rId9" Type="http://schemas.openxmlformats.org/officeDocument/2006/relationships/hyperlink" Target="https://ronavi-robotics.ru/catalogue/h1500" TargetMode="External"/><Relationship Id="rId10" Type="http://schemas.openxmlformats.org/officeDocument/2006/relationships/hyperlink" Target="https://robotrends.ru/robopedia/ronavi-robotics" TargetMode="External"/><Relationship Id="rId11" Type="http://schemas.openxmlformats.org/officeDocument/2006/relationships/hyperlink" Target="https://robob2b.ru/upload/iblock/a34/rbxhakrl7mzsarwb0sxjscpd2iwea2h1.pdf" TargetMode="External"/><Relationship Id="rId12" Type="http://schemas.openxmlformats.org/officeDocument/2006/relationships/hyperlink" Target="https://ronavi-robotics.ru/catalogue/h1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36" customWidth="1"/>
    <col min="2" max="4" width="3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4" t="s">
        <v>6</v>
      </c>
    </row>
    <row r="5" spans="1:2" x14ac:dyDescent="0.25">
      <c r="A5" s="2" t="s">
        <v>7</v>
      </c>
      <c r="B5" s="4" t="s">
        <v>8</v>
      </c>
    </row>
    <row r="6" spans="1:2" x14ac:dyDescent="0.25">
      <c r="A6" s="2" t="s">
        <v>9</v>
      </c>
      <c r="B6" s="4" t="s">
        <v>10</v>
      </c>
    </row>
    <row r="7" spans="1:2" x14ac:dyDescent="0.25">
      <c r="A7" s="2" t="s">
        <v>11</v>
      </c>
      <c r="B7" s="4" t="s">
        <v>12</v>
      </c>
    </row>
    <row r="9" spans="1:1" x14ac:dyDescent="0.25">
      <c r="A9" s="5" t="s">
        <v>13</v>
      </c>
    </row>
    <row r="10" spans="1:1" x14ac:dyDescent="0.25">
      <c r="A10" s="4" t="s">
        <v>14</v>
      </c>
    </row>
    <row r="11" spans="1:1" x14ac:dyDescent="0.25">
      <c r="A11" s="4" t="s">
        <v>15</v>
      </c>
    </row>
    <row r="12" spans="1:1" x14ac:dyDescent="0.25">
      <c r="A12" s="4" t="s">
        <v>16</v>
      </c>
    </row>
    <row r="13" spans="1:1" x14ac:dyDescent="0.25">
      <c r="A13" s="4" t="s">
        <v>17</v>
      </c>
    </row>
    <row r="14" spans="1:1" x14ac:dyDescent="0.25">
      <c r="A14" s="4" t="s">
        <v>18</v>
      </c>
    </row>
    <row r="15" spans="1:1" x14ac:dyDescent="0.25">
      <c r="A15" s="4" t="s">
        <v>19</v>
      </c>
    </row>
    <row r="16" spans="1:1" x14ac:dyDescent="0.25">
      <c r="A16" s="4" t="s">
        <v>20</v>
      </c>
    </row>
    <row r="18" spans="1:1" x14ac:dyDescent="0.25">
      <c r="A18" s="5" t="s">
        <v>21</v>
      </c>
    </row>
    <row r="19" spans="1:4" x14ac:dyDescent="0.25">
      <c r="A19" s="6" t="s">
        <v>22</v>
      </c>
      <c r="B19" s="6" t="s">
        <v>23</v>
      </c>
      <c r="C19" s="6" t="s">
        <v>24</v>
      </c>
      <c r="D19" s="6" t="s">
        <v>25</v>
      </c>
    </row>
    <row r="20" spans="1:4" x14ac:dyDescent="0.25">
      <c r="A20" s="2" t="s">
        <v>26</v>
      </c>
      <c r="B20" s="3" t="s">
        <v>27</v>
      </c>
      <c r="C20" s="3" t="s">
        <v>28</v>
      </c>
      <c r="D20" s="3" t="s">
        <v>28</v>
      </c>
    </row>
    <row r="21" spans="1:4" x14ac:dyDescent="0.25">
      <c r="A21" s="2" t="s">
        <v>29</v>
      </c>
      <c r="B21" s="7">
        <v>0</v>
      </c>
      <c r="C21" s="7">
        <v>47740000</v>
      </c>
      <c r="D21" s="7">
        <v>1540000</v>
      </c>
    </row>
    <row r="22" spans="1:4" x14ac:dyDescent="0.25">
      <c r="A22" s="2" t="s">
        <v>30</v>
      </c>
      <c r="B22" s="7">
        <v>46872000</v>
      </c>
      <c r="C22" s="7">
        <v>38999108.87045109</v>
      </c>
      <c r="D22" s="7">
        <v>49520108.87045109</v>
      </c>
    </row>
    <row r="23" spans="1:4" x14ac:dyDescent="0.25">
      <c r="A23" s="2" t="s">
        <v>31</v>
      </c>
      <c r="B23" s="7">
        <v>46872000</v>
      </c>
      <c r="C23" s="7">
        <v>32238457.07045109</v>
      </c>
      <c r="D23" s="7">
        <v>32238457.07045109</v>
      </c>
    </row>
    <row r="24" spans="1:4" x14ac:dyDescent="0.25">
      <c r="A24" s="2" t="s">
        <v>32</v>
      </c>
      <c r="B24" s="3" t="s">
        <v>33</v>
      </c>
      <c r="C24" s="7">
        <v>7872891.129548907</v>
      </c>
      <c r="D24" s="7">
        <v>-2648108.8704510927</v>
      </c>
    </row>
    <row r="25" spans="1:4" x14ac:dyDescent="0.25">
      <c r="A25" s="2" t="s">
        <v>34</v>
      </c>
      <c r="B25" s="3" t="s">
        <v>33</v>
      </c>
      <c r="C25" s="8">
        <v>6.063846078198639</v>
      </c>
      <c r="D25" s="3" t="s">
        <v>35</v>
      </c>
    </row>
    <row r="26" spans="1:4" x14ac:dyDescent="0.25">
      <c r="A26" s="2" t="s">
        <v>36</v>
      </c>
      <c r="B26" s="3" t="s">
        <v>37</v>
      </c>
      <c r="C26" s="3" t="s">
        <v>38</v>
      </c>
      <c r="D26" s="3" t="s">
        <v>39</v>
      </c>
    </row>
    <row r="27" spans="1:4" x14ac:dyDescent="0.25">
      <c r="A27" s="2" t="s">
        <v>40</v>
      </c>
      <c r="B27" s="3" t="s">
        <v>33</v>
      </c>
      <c r="C27" s="9">
        <v>84.43539096720683</v>
      </c>
      <c r="D27" s="9">
        <v>-859.7756072893159</v>
      </c>
    </row>
    <row r="28" spans="1:4" x14ac:dyDescent="0.25">
      <c r="A28" s="2" t="s">
        <v>41</v>
      </c>
      <c r="B28" s="3" t="s">
        <v>33</v>
      </c>
      <c r="C28" s="9">
        <v>-15.564609032793172</v>
      </c>
      <c r="D28" s="9">
        <v>-959.7756072893159</v>
      </c>
    </row>
    <row r="29" spans="1:4" x14ac:dyDescent="0.25">
      <c r="A29" s="2" t="s">
        <v>42</v>
      </c>
      <c r="B29" s="3" t="s">
        <v>33</v>
      </c>
      <c r="C29" s="7">
        <v>-18355734.237703256</v>
      </c>
      <c r="D29" s="7">
        <v>-11085839.83742081</v>
      </c>
    </row>
    <row r="30" spans="1:4" x14ac:dyDescent="0.25">
      <c r="A30" s="2" t="s">
        <v>43</v>
      </c>
      <c r="B30" s="3" t="s">
        <v>33</v>
      </c>
      <c r="C30" s="3" t="s">
        <v>44</v>
      </c>
      <c r="D30" s="3" t="s">
        <v>44</v>
      </c>
    </row>
    <row r="31" spans="1:4" x14ac:dyDescent="0.25">
      <c r="A31" s="2" t="s">
        <v>45</v>
      </c>
      <c r="B31" s="7">
        <v>234360000</v>
      </c>
      <c r="C31" s="7">
        <v>241790544.35225546</v>
      </c>
      <c r="D31" s="7">
        <v>249140544.35225546</v>
      </c>
    </row>
    <row r="32" spans="1:4" x14ac:dyDescent="0.25">
      <c r="A32" s="2" t="s">
        <v>46</v>
      </c>
      <c r="B32" s="3" t="s">
        <v>33</v>
      </c>
      <c r="C32" s="7">
        <v>7430544.352255464</v>
      </c>
      <c r="D32" s="7">
        <v>14780544.352255464</v>
      </c>
    </row>
    <row r="33" spans="1:4" x14ac:dyDescent="0.25">
      <c r="A33" s="2" t="s">
        <v>47</v>
      </c>
      <c r="B33" s="3" t="s">
        <v>33</v>
      </c>
      <c r="C33" s="3" t="s">
        <v>48</v>
      </c>
      <c r="D33" s="3" t="s">
        <v>48</v>
      </c>
    </row>
    <row r="34" spans="1:4" x14ac:dyDescent="0.25">
      <c r="A34" s="2" t="s">
        <v>49</v>
      </c>
      <c r="B34" s="3" t="s">
        <v>50</v>
      </c>
      <c r="C34" s="3" t="s">
        <v>51</v>
      </c>
      <c r="D34" s="3" t="s">
        <v>52</v>
      </c>
    </row>
    <row r="35" spans="1:4" x14ac:dyDescent="0.25">
      <c r="A35" s="2" t="s">
        <v>13</v>
      </c>
      <c r="B35" s="3" t="s">
        <v>53</v>
      </c>
      <c r="C35" s="3" t="s">
        <v>54</v>
      </c>
      <c r="D35" s="3" t="s">
        <v>54</v>
      </c>
    </row>
    <row r="36" spans="1:1" x14ac:dyDescent="0.25">
      <c r="A36" s="4" t="s">
        <v>55</v>
      </c>
    </row>
    <row r="38" spans="1:1" x14ac:dyDescent="0.25">
      <c r="A38" s="5" t="s">
        <v>56</v>
      </c>
    </row>
    <row r="39" spans="1:4" x14ac:dyDescent="0.25">
      <c r="A39" s="6" t="s">
        <v>57</v>
      </c>
      <c r="B39" s="6" t="s">
        <v>58</v>
      </c>
      <c r="C39" s="6" t="s">
        <v>59</v>
      </c>
      <c r="D39" s="6" t="s">
        <v>60</v>
      </c>
    </row>
    <row r="40" spans="1:4" x14ac:dyDescent="0.25">
      <c r="A40" s="4" t="s">
        <v>24</v>
      </c>
      <c r="B40" s="4" t="s">
        <v>61</v>
      </c>
      <c r="C40" s="4" t="s">
        <v>62</v>
      </c>
      <c r="D40" s="3" t="s">
        <v>63</v>
      </c>
    </row>
    <row r="41" spans="1:4" x14ac:dyDescent="0.25">
      <c r="A41" s="4" t="s">
        <v>24</v>
      </c>
      <c r="B41" s="4" t="s">
        <v>64</v>
      </c>
      <c r="C41" s="4" t="s">
        <v>65</v>
      </c>
      <c r="D41" s="3" t="s">
        <v>66</v>
      </c>
    </row>
    <row r="42" spans="1:4" x14ac:dyDescent="0.25">
      <c r="A42" s="4" t="s">
        <v>24</v>
      </c>
      <c r="B42" s="4" t="s">
        <v>64</v>
      </c>
      <c r="C42" s="4" t="s">
        <v>67</v>
      </c>
      <c r="D42" s="3" t="s">
        <v>68</v>
      </c>
    </row>
    <row r="43" spans="1:4" x14ac:dyDescent="0.25">
      <c r="A43" s="4" t="s">
        <v>24</v>
      </c>
      <c r="B43" s="4" t="s">
        <v>64</v>
      </c>
      <c r="C43" s="4" t="s">
        <v>69</v>
      </c>
      <c r="D43" s="3" t="s">
        <v>70</v>
      </c>
    </row>
    <row r="44" spans="1:4" x14ac:dyDescent="0.25">
      <c r="A44" s="4" t="s">
        <v>24</v>
      </c>
      <c r="B44" s="4" t="s">
        <v>64</v>
      </c>
      <c r="C44" s="4" t="s">
        <v>69</v>
      </c>
      <c r="D44" s="3" t="s">
        <v>71</v>
      </c>
    </row>
    <row r="45" spans="1:4" x14ac:dyDescent="0.25">
      <c r="A45" s="4" t="s">
        <v>24</v>
      </c>
      <c r="B45" s="4" t="s">
        <v>72</v>
      </c>
      <c r="C45" s="4" t="s">
        <v>73</v>
      </c>
      <c r="D45" s="3" t="s">
        <v>74</v>
      </c>
    </row>
    <row r="46" spans="1:4" x14ac:dyDescent="0.25">
      <c r="A46" s="4" t="s">
        <v>24</v>
      </c>
      <c r="B46" s="4" t="s">
        <v>72</v>
      </c>
      <c r="C46" s="4" t="s">
        <v>75</v>
      </c>
      <c r="D46" s="3" t="s">
        <v>76</v>
      </c>
    </row>
    <row r="47" spans="1:4" x14ac:dyDescent="0.25">
      <c r="A47" s="4" t="s">
        <v>24</v>
      </c>
      <c r="B47" s="4" t="s">
        <v>72</v>
      </c>
      <c r="C47" s="4" t="s">
        <v>77</v>
      </c>
      <c r="D47" s="3" t="s">
        <v>78</v>
      </c>
    </row>
    <row r="48" spans="1:4" x14ac:dyDescent="0.25">
      <c r="A48" s="4" t="s">
        <v>24</v>
      </c>
      <c r="B48" s="4" t="s">
        <v>72</v>
      </c>
      <c r="C48" s="4" t="s">
        <v>79</v>
      </c>
      <c r="D48" s="3" t="s">
        <v>80</v>
      </c>
    </row>
    <row r="49" spans="1:4" x14ac:dyDescent="0.25">
      <c r="A49" s="4" t="s">
        <v>24</v>
      </c>
      <c r="B49" s="4" t="s">
        <v>72</v>
      </c>
      <c r="C49" s="4" t="s">
        <v>81</v>
      </c>
      <c r="D49" s="3" t="s">
        <v>82</v>
      </c>
    </row>
    <row r="50" spans="1:4" x14ac:dyDescent="0.25">
      <c r="A50" s="4" t="s">
        <v>25</v>
      </c>
      <c r="B50" s="4" t="s">
        <v>61</v>
      </c>
      <c r="C50" s="4" t="s">
        <v>62</v>
      </c>
      <c r="D50" s="3" t="s">
        <v>63</v>
      </c>
    </row>
    <row r="51" spans="1:4" x14ac:dyDescent="0.25">
      <c r="A51" s="4" t="s">
        <v>25</v>
      </c>
      <c r="B51" s="4" t="s">
        <v>64</v>
      </c>
      <c r="C51" s="4" t="s">
        <v>65</v>
      </c>
      <c r="D51" s="3" t="s">
        <v>66</v>
      </c>
    </row>
    <row r="52" spans="1:4" x14ac:dyDescent="0.25">
      <c r="A52" s="4" t="s">
        <v>25</v>
      </c>
      <c r="B52" s="4" t="s">
        <v>64</v>
      </c>
      <c r="C52" s="4" t="s">
        <v>67</v>
      </c>
      <c r="D52" s="3" t="s">
        <v>68</v>
      </c>
    </row>
    <row r="53" spans="1:4" x14ac:dyDescent="0.25">
      <c r="A53" s="4" t="s">
        <v>25</v>
      </c>
      <c r="B53" s="4" t="s">
        <v>64</v>
      </c>
      <c r="C53" s="4" t="s">
        <v>83</v>
      </c>
      <c r="D53" s="3" t="s">
        <v>84</v>
      </c>
    </row>
    <row r="54" spans="1:4" x14ac:dyDescent="0.25">
      <c r="A54" s="4" t="s">
        <v>25</v>
      </c>
      <c r="B54" s="4" t="s">
        <v>64</v>
      </c>
      <c r="C54" s="4" t="s">
        <v>69</v>
      </c>
      <c r="D54" s="3" t="s">
        <v>85</v>
      </c>
    </row>
    <row r="55" spans="1:4" x14ac:dyDescent="0.25">
      <c r="A55" s="4" t="s">
        <v>25</v>
      </c>
      <c r="B55" s="4" t="s">
        <v>64</v>
      </c>
      <c r="C55" s="4" t="s">
        <v>69</v>
      </c>
      <c r="D55" s="3" t="s">
        <v>86</v>
      </c>
    </row>
    <row r="56" spans="1:4" x14ac:dyDescent="0.25">
      <c r="A56" s="4" t="s">
        <v>25</v>
      </c>
      <c r="B56" s="4" t="s">
        <v>64</v>
      </c>
      <c r="C56" s="4" t="s">
        <v>69</v>
      </c>
      <c r="D56" s="3" t="s">
        <v>87</v>
      </c>
    </row>
    <row r="57" spans="1:4" x14ac:dyDescent="0.25">
      <c r="A57" s="4" t="s">
        <v>25</v>
      </c>
      <c r="B57" s="4" t="s">
        <v>72</v>
      </c>
      <c r="C57" s="4" t="s">
        <v>88</v>
      </c>
      <c r="D57" s="3" t="s">
        <v>89</v>
      </c>
    </row>
    <row r="58" spans="1:4" x14ac:dyDescent="0.25">
      <c r="A58" s="4" t="s">
        <v>25</v>
      </c>
      <c r="B58" s="4" t="s">
        <v>72</v>
      </c>
      <c r="C58" s="4" t="s">
        <v>73</v>
      </c>
      <c r="D58" s="3" t="s">
        <v>74</v>
      </c>
    </row>
    <row r="59" spans="1:4" x14ac:dyDescent="0.25">
      <c r="A59" s="4" t="s">
        <v>25</v>
      </c>
      <c r="B59" s="4" t="s">
        <v>72</v>
      </c>
      <c r="C59" s="4" t="s">
        <v>75</v>
      </c>
      <c r="D59" s="3" t="s">
        <v>76</v>
      </c>
    </row>
    <row r="60" spans="1:4" x14ac:dyDescent="0.25">
      <c r="A60" s="4" t="s">
        <v>25</v>
      </c>
      <c r="B60" s="4" t="s">
        <v>72</v>
      </c>
      <c r="C60" s="4" t="s">
        <v>77</v>
      </c>
      <c r="D60" s="3" t="s">
        <v>78</v>
      </c>
    </row>
    <row r="61" spans="1:4" x14ac:dyDescent="0.25">
      <c r="A61" s="4" t="s">
        <v>25</v>
      </c>
      <c r="B61" s="4" t="s">
        <v>72</v>
      </c>
      <c r="C61" s="4" t="s">
        <v>79</v>
      </c>
      <c r="D61" s="3" t="s">
        <v>80</v>
      </c>
    </row>
    <row r="62" spans="1:4" x14ac:dyDescent="0.25">
      <c r="A62" s="4" t="s">
        <v>25</v>
      </c>
      <c r="B62" s="4" t="s">
        <v>72</v>
      </c>
      <c r="C62" s="4" t="s">
        <v>81</v>
      </c>
      <c r="D62" s="3" t="s">
        <v>82</v>
      </c>
    </row>
    <row r="64" spans="1:1" x14ac:dyDescent="0.25">
      <c r="A64" s="1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6" customWidth="1"/>
    <col min="3" max="3" width="18" customWidth="1"/>
    <col min="4" max="4" width="12" customWidth="1"/>
    <col min="5" max="5" width="18" customWidth="1"/>
    <col min="6" max="6" width="22" customWidth="1"/>
    <col min="7" max="7" width="44" customWidth="1"/>
    <col min="8" max="8" width="50" customWidth="1"/>
  </cols>
  <sheetData>
    <row r="1" spans="1:8" x14ac:dyDescent="0.25">
      <c r="A1" s="6" t="s">
        <v>91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</row>
    <row r="2" spans="1:8" x14ac:dyDescent="0.25">
      <c r="A2" s="4" t="s">
        <v>99</v>
      </c>
      <c r="B2" s="4" t="s">
        <v>100</v>
      </c>
      <c r="C2" s="4">
        <v>20000</v>
      </c>
      <c r="D2" s="4" t="s">
        <v>101</v>
      </c>
      <c r="E2" s="4">
        <v>20000</v>
      </c>
      <c r="F2" s="4" t="s">
        <v>102</v>
      </c>
      <c r="G2" s="3" t="s">
        <v>103</v>
      </c>
      <c r="H2" s="4" t="s">
        <v>104</v>
      </c>
    </row>
    <row r="3" spans="1:8" x14ac:dyDescent="0.25">
      <c r="A3" s="4" t="s">
        <v>99</v>
      </c>
      <c r="B3" s="4" t="s">
        <v>105</v>
      </c>
      <c r="C3" s="4">
        <v>10000</v>
      </c>
      <c r="D3" s="4" t="s">
        <v>101</v>
      </c>
      <c r="E3" s="4">
        <v>10000</v>
      </c>
      <c r="F3" s="4" t="s">
        <v>106</v>
      </c>
      <c r="G3" s="3" t="s">
        <v>107</v>
      </c>
      <c r="H3" s="4" t="s">
        <v>104</v>
      </c>
    </row>
    <row r="4" spans="1:8" x14ac:dyDescent="0.25">
      <c r="A4" s="4" t="s">
        <v>99</v>
      </c>
      <c r="B4" s="4" t="s">
        <v>108</v>
      </c>
      <c r="C4" s="4">
        <v>10</v>
      </c>
      <c r="D4" s="4" t="s">
        <v>109</v>
      </c>
      <c r="E4" s="4">
        <v>10</v>
      </c>
      <c r="F4" s="4" t="s">
        <v>110</v>
      </c>
      <c r="G4" s="3" t="s">
        <v>111</v>
      </c>
      <c r="H4" s="4" t="s">
        <v>104</v>
      </c>
    </row>
    <row r="5" spans="1:8" x14ac:dyDescent="0.25">
      <c r="A5" s="4" t="s">
        <v>99</v>
      </c>
      <c r="B5" s="4" t="s">
        <v>112</v>
      </c>
      <c r="C5" s="4">
        <v>1</v>
      </c>
      <c r="D5" s="4" t="s">
        <v>113</v>
      </c>
      <c r="E5" s="4">
        <v>1</v>
      </c>
      <c r="F5" s="4" t="s">
        <v>114</v>
      </c>
      <c r="G5" s="3" t="s">
        <v>115</v>
      </c>
      <c r="H5" s="4" t="s">
        <v>104</v>
      </c>
    </row>
    <row r="6" spans="1:8" x14ac:dyDescent="0.25">
      <c r="A6" s="4" t="s">
        <v>99</v>
      </c>
      <c r="B6" s="4" t="s">
        <v>116</v>
      </c>
      <c r="C6" s="4">
        <v>3.5</v>
      </c>
      <c r="D6" s="4" t="s">
        <v>109</v>
      </c>
      <c r="E6" s="4">
        <v>3.5</v>
      </c>
      <c r="F6" s="4" t="s">
        <v>117</v>
      </c>
      <c r="G6" s="3" t="s">
        <v>118</v>
      </c>
      <c r="H6" s="4" t="s">
        <v>104</v>
      </c>
    </row>
    <row r="7" spans="1:8" x14ac:dyDescent="0.25">
      <c r="A7" s="4" t="s">
        <v>99</v>
      </c>
      <c r="B7" s="4" t="s">
        <v>119</v>
      </c>
      <c r="C7" s="4">
        <v>2.8</v>
      </c>
      <c r="D7" s="4" t="s">
        <v>109</v>
      </c>
      <c r="E7" s="4">
        <v>2.8</v>
      </c>
      <c r="F7" s="4" t="s">
        <v>120</v>
      </c>
      <c r="G7" s="3" t="s">
        <v>121</v>
      </c>
      <c r="H7" s="4" t="s">
        <v>104</v>
      </c>
    </row>
    <row r="8" spans="1:8" x14ac:dyDescent="0.25">
      <c r="A8" s="4" t="s">
        <v>99</v>
      </c>
      <c r="B8" s="4" t="s">
        <v>122</v>
      </c>
      <c r="C8" s="4" t="s">
        <v>123</v>
      </c>
      <c r="D8" s="4" t="s">
        <v>104</v>
      </c>
      <c r="E8" s="4" t="s">
        <v>123</v>
      </c>
      <c r="F8" s="4" t="s">
        <v>33</v>
      </c>
      <c r="G8" s="3" t="s">
        <v>124</v>
      </c>
      <c r="H8" s="4" t="s">
        <v>104</v>
      </c>
    </row>
    <row r="9" spans="1:8" x14ac:dyDescent="0.25">
      <c r="A9" s="4" t="s">
        <v>99</v>
      </c>
      <c r="B9" s="4" t="s">
        <v>125</v>
      </c>
      <c r="C9" s="4">
        <v>3</v>
      </c>
      <c r="D9" s="4" t="s">
        <v>126</v>
      </c>
      <c r="E9" s="4">
        <v>3</v>
      </c>
      <c r="F9" s="4" t="s">
        <v>127</v>
      </c>
      <c r="G9" s="3" t="s">
        <v>128</v>
      </c>
      <c r="H9" s="4" t="s">
        <v>104</v>
      </c>
    </row>
    <row r="10" spans="1:8" x14ac:dyDescent="0.25">
      <c r="A10" s="4" t="s">
        <v>129</v>
      </c>
      <c r="B10" s="4" t="s">
        <v>130</v>
      </c>
      <c r="C10" s="4">
        <v>2</v>
      </c>
      <c r="D10" s="4" t="s">
        <v>131</v>
      </c>
      <c r="E10" s="4">
        <v>2</v>
      </c>
      <c r="F10" s="4" t="s">
        <v>132</v>
      </c>
      <c r="G10" s="3" t="s">
        <v>133</v>
      </c>
      <c r="H10" s="4" t="s">
        <v>104</v>
      </c>
    </row>
    <row r="11" spans="1:8" x14ac:dyDescent="0.25">
      <c r="A11" s="4" t="s">
        <v>129</v>
      </c>
      <c r="B11" s="4" t="s">
        <v>134</v>
      </c>
      <c r="C11" s="4">
        <v>365</v>
      </c>
      <c r="D11" s="4" t="s">
        <v>135</v>
      </c>
      <c r="E11" s="4">
        <v>365</v>
      </c>
      <c r="F11" s="4" t="s">
        <v>136</v>
      </c>
      <c r="G11" s="3" t="s">
        <v>137</v>
      </c>
      <c r="H11" s="4" t="s">
        <v>104</v>
      </c>
    </row>
    <row r="12" spans="1:8" x14ac:dyDescent="0.25">
      <c r="A12" s="4" t="s">
        <v>129</v>
      </c>
      <c r="B12" s="4" t="s">
        <v>138</v>
      </c>
      <c r="C12" s="4">
        <v>11</v>
      </c>
      <c r="D12" s="4" t="s">
        <v>139</v>
      </c>
      <c r="E12" s="4">
        <v>11</v>
      </c>
      <c r="F12" s="4" t="s">
        <v>140</v>
      </c>
      <c r="G12" s="3" t="s">
        <v>141</v>
      </c>
      <c r="H12" s="4" t="s">
        <v>104</v>
      </c>
    </row>
    <row r="13" spans="1:8" x14ac:dyDescent="0.25">
      <c r="A13" s="4" t="s">
        <v>129</v>
      </c>
      <c r="B13" s="4" t="s">
        <v>142</v>
      </c>
      <c r="C13" s="4">
        <v>1.5</v>
      </c>
      <c r="D13" s="4" t="s">
        <v>104</v>
      </c>
      <c r="E13" s="4">
        <v>1.5</v>
      </c>
      <c r="F13" s="4" t="s">
        <v>143</v>
      </c>
      <c r="G13" s="3" t="s">
        <v>144</v>
      </c>
      <c r="H13" s="4" t="s">
        <v>104</v>
      </c>
    </row>
    <row r="14" spans="1:8" x14ac:dyDescent="0.25">
      <c r="A14" s="4" t="s">
        <v>145</v>
      </c>
      <c r="B14" s="4" t="s">
        <v>146</v>
      </c>
      <c r="C14" s="4">
        <v>1000</v>
      </c>
      <c r="D14" s="4" t="s">
        <v>147</v>
      </c>
      <c r="E14" s="4">
        <v>1000</v>
      </c>
      <c r="F14" s="4" t="s">
        <v>148</v>
      </c>
      <c r="G14" s="3" t="s">
        <v>149</v>
      </c>
      <c r="H14" s="4" t="s">
        <v>104</v>
      </c>
    </row>
    <row r="15" spans="1:8" x14ac:dyDescent="0.25">
      <c r="A15" s="4" t="s">
        <v>145</v>
      </c>
      <c r="B15" s="4" t="s">
        <v>150</v>
      </c>
      <c r="C15" s="4">
        <v>1000</v>
      </c>
      <c r="D15" s="4" t="s">
        <v>147</v>
      </c>
      <c r="E15" s="4">
        <v>1000</v>
      </c>
      <c r="F15" s="4" t="s">
        <v>148</v>
      </c>
      <c r="G15" s="3" t="s">
        <v>151</v>
      </c>
      <c r="H15" s="4" t="s">
        <v>104</v>
      </c>
    </row>
    <row r="16" spans="1:8" x14ac:dyDescent="0.25">
      <c r="A16" s="4" t="s">
        <v>145</v>
      </c>
      <c r="B16" s="4" t="s">
        <v>152</v>
      </c>
      <c r="C16" s="4">
        <v>100000</v>
      </c>
      <c r="D16" s="4" t="s">
        <v>153</v>
      </c>
      <c r="E16" s="4">
        <v>100000</v>
      </c>
      <c r="F16" s="4" t="s">
        <v>154</v>
      </c>
      <c r="G16" s="3" t="s">
        <v>155</v>
      </c>
      <c r="H16" s="4" t="s">
        <v>104</v>
      </c>
    </row>
    <row r="17" spans="1:8" x14ac:dyDescent="0.25">
      <c r="A17" s="4" t="s">
        <v>145</v>
      </c>
      <c r="B17" s="4" t="s">
        <v>156</v>
      </c>
      <c r="C17" s="4">
        <v>150000</v>
      </c>
      <c r="D17" s="4" t="s">
        <v>157</v>
      </c>
      <c r="E17" s="4">
        <v>150000</v>
      </c>
      <c r="F17" s="4" t="s">
        <v>158</v>
      </c>
      <c r="G17" s="3" t="s">
        <v>159</v>
      </c>
      <c r="H17" s="4" t="s">
        <v>104</v>
      </c>
    </row>
    <row r="18" spans="1:8" x14ac:dyDescent="0.25">
      <c r="A18" s="4" t="s">
        <v>145</v>
      </c>
      <c r="B18" s="4" t="s">
        <v>160</v>
      </c>
      <c r="C18" s="4">
        <v>30</v>
      </c>
      <c r="D18" s="4" t="s">
        <v>161</v>
      </c>
      <c r="E18" s="4">
        <v>30</v>
      </c>
      <c r="F18" s="4" t="s">
        <v>162</v>
      </c>
      <c r="G18" s="3" t="s">
        <v>163</v>
      </c>
      <c r="H18" s="4" t="s">
        <v>104</v>
      </c>
    </row>
    <row r="19" spans="1:8" x14ac:dyDescent="0.25">
      <c r="A19" s="4" t="s">
        <v>145</v>
      </c>
      <c r="B19" s="4" t="s">
        <v>164</v>
      </c>
      <c r="C19" s="4">
        <v>2000</v>
      </c>
      <c r="D19" s="4" t="s">
        <v>165</v>
      </c>
      <c r="E19" s="4">
        <v>2000</v>
      </c>
      <c r="F19" s="4" t="s">
        <v>166</v>
      </c>
      <c r="G19" s="3" t="s">
        <v>167</v>
      </c>
      <c r="H19" s="4" t="s">
        <v>104</v>
      </c>
    </row>
    <row r="20" spans="1:8" x14ac:dyDescent="0.25">
      <c r="A20" s="4" t="s">
        <v>145</v>
      </c>
      <c r="B20" s="4" t="s">
        <v>168</v>
      </c>
      <c r="C20" s="4">
        <v>20</v>
      </c>
      <c r="D20" s="4" t="s">
        <v>161</v>
      </c>
      <c r="E20" s="4">
        <v>20</v>
      </c>
      <c r="F20" s="4" t="s">
        <v>169</v>
      </c>
      <c r="G20" s="3" t="s">
        <v>170</v>
      </c>
      <c r="H20" s="4" t="s">
        <v>104</v>
      </c>
    </row>
    <row r="21" spans="1:8" x14ac:dyDescent="0.25">
      <c r="A21" s="4" t="s">
        <v>171</v>
      </c>
      <c r="B21" s="4" t="s">
        <v>172</v>
      </c>
      <c r="C21" s="4">
        <v>180</v>
      </c>
      <c r="D21" s="4" t="s">
        <v>173</v>
      </c>
      <c r="E21" s="4">
        <v>180</v>
      </c>
      <c r="F21" s="4" t="s">
        <v>174</v>
      </c>
      <c r="G21" s="3" t="s">
        <v>175</v>
      </c>
      <c r="H21" s="4" t="s">
        <v>104</v>
      </c>
    </row>
    <row r="22" spans="1:8" x14ac:dyDescent="0.25">
      <c r="A22" s="4" t="s">
        <v>171</v>
      </c>
      <c r="B22" s="4" t="s">
        <v>176</v>
      </c>
      <c r="C22" s="4">
        <v>100</v>
      </c>
      <c r="D22" s="4" t="s">
        <v>173</v>
      </c>
      <c r="E22" s="4">
        <v>100</v>
      </c>
      <c r="F22" s="4" t="s">
        <v>177</v>
      </c>
      <c r="G22" s="3" t="s">
        <v>178</v>
      </c>
      <c r="H22" s="4" t="s">
        <v>104</v>
      </c>
    </row>
    <row r="23" spans="1:8" x14ac:dyDescent="0.25">
      <c r="A23" s="4" t="s">
        <v>171</v>
      </c>
      <c r="B23" s="4" t="s">
        <v>179</v>
      </c>
      <c r="C23" s="4">
        <v>25</v>
      </c>
      <c r="D23" s="4" t="s">
        <v>173</v>
      </c>
      <c r="E23" s="4">
        <v>25</v>
      </c>
      <c r="F23" s="4" t="s">
        <v>180</v>
      </c>
      <c r="G23" s="3" t="s">
        <v>181</v>
      </c>
      <c r="H23" s="4" t="s">
        <v>104</v>
      </c>
    </row>
    <row r="24" spans="1:8" x14ac:dyDescent="0.25">
      <c r="A24" s="4" t="s">
        <v>171</v>
      </c>
      <c r="B24" s="4" t="s">
        <v>182</v>
      </c>
      <c r="C24" s="4">
        <v>20</v>
      </c>
      <c r="D24" s="4" t="s">
        <v>173</v>
      </c>
      <c r="E24" s="4">
        <v>20</v>
      </c>
      <c r="F24" s="4" t="s">
        <v>183</v>
      </c>
      <c r="G24" s="3" t="s">
        <v>184</v>
      </c>
      <c r="H24" s="4" t="s">
        <v>104</v>
      </c>
    </row>
    <row r="25" spans="1:8" x14ac:dyDescent="0.25">
      <c r="A25" s="4" t="s">
        <v>171</v>
      </c>
      <c r="B25" s="4" t="s">
        <v>185</v>
      </c>
      <c r="C25" s="4">
        <v>100000</v>
      </c>
      <c r="D25" s="4" t="s">
        <v>186</v>
      </c>
      <c r="E25" s="4">
        <v>100000</v>
      </c>
      <c r="F25" s="4" t="s">
        <v>187</v>
      </c>
      <c r="G25" s="3" t="s">
        <v>188</v>
      </c>
      <c r="H25" s="4" t="s">
        <v>104</v>
      </c>
    </row>
    <row r="26" spans="1:8" x14ac:dyDescent="0.25">
      <c r="A26" s="4" t="s">
        <v>171</v>
      </c>
      <c r="B26" s="4" t="s">
        <v>189</v>
      </c>
      <c r="C26" s="4">
        <v>120000</v>
      </c>
      <c r="D26" s="4" t="s">
        <v>186</v>
      </c>
      <c r="E26" s="4">
        <v>120000</v>
      </c>
      <c r="F26" s="4" t="s">
        <v>190</v>
      </c>
      <c r="G26" s="3" t="s">
        <v>191</v>
      </c>
      <c r="H26" s="4" t="s">
        <v>104</v>
      </c>
    </row>
    <row r="27" spans="1:8" x14ac:dyDescent="0.25">
      <c r="A27" s="4" t="s">
        <v>171</v>
      </c>
      <c r="B27" s="3" t="s">
        <v>192</v>
      </c>
      <c r="C27" s="4">
        <v>1.302</v>
      </c>
      <c r="D27" s="4" t="s">
        <v>104</v>
      </c>
      <c r="E27" s="4">
        <v>1.302</v>
      </c>
      <c r="F27" s="4" t="s">
        <v>193</v>
      </c>
      <c r="G27" s="3" t="s">
        <v>194</v>
      </c>
      <c r="H27" s="4" t="s">
        <v>104</v>
      </c>
    </row>
    <row r="28" spans="1:8" x14ac:dyDescent="0.25">
      <c r="A28" s="4" t="s">
        <v>171</v>
      </c>
      <c r="B28" s="4" t="s">
        <v>195</v>
      </c>
      <c r="C28" s="4">
        <v>150</v>
      </c>
      <c r="D28" s="4" t="s">
        <v>196</v>
      </c>
      <c r="E28" s="4">
        <v>150</v>
      </c>
      <c r="F28" s="4" t="s">
        <v>197</v>
      </c>
      <c r="G28" s="3" t="s">
        <v>198</v>
      </c>
      <c r="H28" s="4" t="s">
        <v>104</v>
      </c>
    </row>
    <row r="29" spans="1:8" x14ac:dyDescent="0.25">
      <c r="A29" s="4" t="s">
        <v>171</v>
      </c>
      <c r="B29" s="3" t="s">
        <v>199</v>
      </c>
      <c r="C29" s="4">
        <v>25</v>
      </c>
      <c r="D29" s="4" t="s">
        <v>161</v>
      </c>
      <c r="E29" s="4">
        <v>25</v>
      </c>
      <c r="F29" s="4" t="s">
        <v>200</v>
      </c>
      <c r="G29" s="3" t="s">
        <v>201</v>
      </c>
      <c r="H29" s="4" t="s">
        <v>104</v>
      </c>
    </row>
    <row r="30" spans="1:8" x14ac:dyDescent="0.25">
      <c r="A30" s="4" t="s">
        <v>202</v>
      </c>
      <c r="B30" s="3" t="s">
        <v>203</v>
      </c>
      <c r="C30" s="4">
        <v>25</v>
      </c>
      <c r="D30" s="4" t="s">
        <v>109</v>
      </c>
      <c r="E30" s="4">
        <v>25</v>
      </c>
      <c r="F30" s="4" t="s">
        <v>204</v>
      </c>
      <c r="G30" s="3" t="s">
        <v>205</v>
      </c>
      <c r="H30" s="4" t="s">
        <v>104</v>
      </c>
    </row>
    <row r="31" spans="1:8" x14ac:dyDescent="0.25">
      <c r="A31" s="4" t="s">
        <v>202</v>
      </c>
      <c r="B31" s="3" t="s">
        <v>206</v>
      </c>
      <c r="C31" s="4">
        <v>350</v>
      </c>
      <c r="D31" s="4" t="s">
        <v>109</v>
      </c>
      <c r="E31" s="4">
        <v>350</v>
      </c>
      <c r="F31" s="4" t="s">
        <v>207</v>
      </c>
      <c r="G31" s="3" t="s">
        <v>208</v>
      </c>
      <c r="H31" s="4" t="s">
        <v>104</v>
      </c>
    </row>
    <row r="32" spans="1:8" x14ac:dyDescent="0.25">
      <c r="A32" s="4" t="s">
        <v>209</v>
      </c>
      <c r="B32" s="4" t="s">
        <v>210</v>
      </c>
      <c r="C32" s="4" t="s">
        <v>211</v>
      </c>
      <c r="D32" s="4" t="s">
        <v>104</v>
      </c>
      <c r="E32" s="4" t="s">
        <v>211</v>
      </c>
      <c r="F32" s="4" t="s">
        <v>33</v>
      </c>
      <c r="G32" s="3" t="s">
        <v>212</v>
      </c>
      <c r="H32" s="4" t="s">
        <v>104</v>
      </c>
    </row>
    <row r="33" spans="1:8" x14ac:dyDescent="0.25">
      <c r="A33" s="4" t="s">
        <v>209</v>
      </c>
      <c r="B33" s="4" t="s">
        <v>213</v>
      </c>
      <c r="C33" s="4">
        <v>20000</v>
      </c>
      <c r="D33" s="4" t="s">
        <v>214</v>
      </c>
      <c r="E33" s="4">
        <v>20000</v>
      </c>
      <c r="F33" s="4" t="s">
        <v>215</v>
      </c>
      <c r="G33" s="3" t="s">
        <v>216</v>
      </c>
      <c r="H33" s="4" t="s">
        <v>104</v>
      </c>
    </row>
    <row r="34" spans="1:8" x14ac:dyDescent="0.25">
      <c r="A34" s="4" t="s">
        <v>209</v>
      </c>
      <c r="B34" s="4" t="s">
        <v>217</v>
      </c>
      <c r="C34" s="4">
        <v>800</v>
      </c>
      <c r="D34" s="4" t="s">
        <v>218</v>
      </c>
      <c r="E34" s="4">
        <v>800</v>
      </c>
      <c r="F34" s="4" t="s">
        <v>219</v>
      </c>
      <c r="G34" s="3" t="s">
        <v>220</v>
      </c>
      <c r="H34" s="4" t="s">
        <v>104</v>
      </c>
    </row>
    <row r="35" spans="1:8" x14ac:dyDescent="0.25">
      <c r="A35" s="4" t="s">
        <v>209</v>
      </c>
      <c r="B35" s="4" t="s">
        <v>221</v>
      </c>
      <c r="C35" s="4">
        <v>1.8</v>
      </c>
      <c r="D35" s="4" t="s">
        <v>218</v>
      </c>
      <c r="E35" s="4">
        <v>1.8</v>
      </c>
      <c r="F35" s="4" t="s">
        <v>222</v>
      </c>
      <c r="G35" s="3" t="s">
        <v>223</v>
      </c>
      <c r="H35" s="4" t="s">
        <v>104</v>
      </c>
    </row>
    <row r="36" spans="1:8" x14ac:dyDescent="0.25">
      <c r="A36" s="4" t="s">
        <v>209</v>
      </c>
      <c r="B36" s="4" t="s">
        <v>224</v>
      </c>
      <c r="C36" s="4" t="s">
        <v>225</v>
      </c>
      <c r="D36" s="4" t="s">
        <v>226</v>
      </c>
      <c r="E36" s="4" t="s">
        <v>225</v>
      </c>
      <c r="F36" s="4" t="s">
        <v>33</v>
      </c>
      <c r="G36" s="3" t="s">
        <v>227</v>
      </c>
      <c r="H36" s="4" t="s">
        <v>104</v>
      </c>
    </row>
    <row r="37" spans="1:8" x14ac:dyDescent="0.25">
      <c r="A37" s="4" t="s">
        <v>209</v>
      </c>
      <c r="B37" s="4" t="s">
        <v>228</v>
      </c>
      <c r="C37" s="4" t="s">
        <v>229</v>
      </c>
      <c r="D37" s="4" t="s">
        <v>226</v>
      </c>
      <c r="E37" s="4" t="s">
        <v>229</v>
      </c>
      <c r="F37" s="4" t="s">
        <v>33</v>
      </c>
      <c r="G37" s="3" t="s">
        <v>230</v>
      </c>
      <c r="H37" s="4" t="s">
        <v>104</v>
      </c>
    </row>
    <row r="38" spans="1:8" x14ac:dyDescent="0.25">
      <c r="A38" s="4" t="s">
        <v>209</v>
      </c>
      <c r="B38" s="4" t="s">
        <v>231</v>
      </c>
      <c r="C38" s="4">
        <v>5</v>
      </c>
      <c r="D38" s="4" t="s">
        <v>161</v>
      </c>
      <c r="E38" s="4">
        <v>5</v>
      </c>
      <c r="F38" s="4" t="s">
        <v>232</v>
      </c>
      <c r="G38" s="3" t="s">
        <v>233</v>
      </c>
      <c r="H38" s="4" t="s">
        <v>104</v>
      </c>
    </row>
    <row r="39" spans="1:8" x14ac:dyDescent="0.25">
      <c r="A39" s="4" t="s">
        <v>234</v>
      </c>
      <c r="B39" s="4" t="s">
        <v>235</v>
      </c>
      <c r="C39" s="4">
        <v>500</v>
      </c>
      <c r="D39" s="4" t="s">
        <v>236</v>
      </c>
      <c r="E39" s="4">
        <v>500</v>
      </c>
      <c r="F39" s="4" t="s">
        <v>237</v>
      </c>
      <c r="G39" s="3" t="s">
        <v>238</v>
      </c>
      <c r="H39" s="4" t="s">
        <v>104</v>
      </c>
    </row>
    <row r="40" spans="1:8" x14ac:dyDescent="0.25">
      <c r="A40" s="4" t="s">
        <v>234</v>
      </c>
      <c r="B40" s="4" t="s">
        <v>239</v>
      </c>
      <c r="C40" s="4" t="s">
        <v>240</v>
      </c>
      <c r="D40" s="4" t="s">
        <v>104</v>
      </c>
      <c r="E40" s="4" t="s">
        <v>240</v>
      </c>
      <c r="F40" s="4" t="s">
        <v>33</v>
      </c>
      <c r="G40" s="3" t="s">
        <v>241</v>
      </c>
      <c r="H40" s="4" t="s">
        <v>104</v>
      </c>
    </row>
    <row r="41" spans="1:8" x14ac:dyDescent="0.25">
      <c r="A41" s="4" t="s">
        <v>234</v>
      </c>
      <c r="B41" s="4" t="s">
        <v>242</v>
      </c>
      <c r="C41" s="4" t="s">
        <v>243</v>
      </c>
      <c r="D41" s="4" t="s">
        <v>104</v>
      </c>
      <c r="E41" s="4" t="s">
        <v>243</v>
      </c>
      <c r="F41" s="4" t="s">
        <v>33</v>
      </c>
      <c r="G41" s="3" t="s">
        <v>244</v>
      </c>
      <c r="H41" s="4" t="s">
        <v>104</v>
      </c>
    </row>
    <row r="42" spans="1:8" x14ac:dyDescent="0.25">
      <c r="A42" s="4" t="s">
        <v>234</v>
      </c>
      <c r="B42" s="3" t="s">
        <v>245</v>
      </c>
      <c r="C42" s="4">
        <v>80</v>
      </c>
      <c r="D42" s="4" t="s">
        <v>246</v>
      </c>
      <c r="E42" s="4">
        <v>80</v>
      </c>
      <c r="F42" s="4" t="s">
        <v>247</v>
      </c>
      <c r="G42" s="3" t="s">
        <v>248</v>
      </c>
      <c r="H42" s="4" t="s">
        <v>104</v>
      </c>
    </row>
    <row r="43" spans="1:8" x14ac:dyDescent="0.25">
      <c r="A43" s="4" t="s">
        <v>234</v>
      </c>
      <c r="B43" s="4" t="s">
        <v>249</v>
      </c>
      <c r="C43" s="4">
        <v>5</v>
      </c>
      <c r="D43" s="4" t="s">
        <v>250</v>
      </c>
      <c r="E43" s="4">
        <v>5</v>
      </c>
      <c r="F43" s="4" t="s">
        <v>251</v>
      </c>
      <c r="G43" s="3" t="s">
        <v>252</v>
      </c>
      <c r="H43" s="4" t="s">
        <v>104</v>
      </c>
    </row>
    <row r="44" spans="1:8" x14ac:dyDescent="0.25">
      <c r="A44" s="4" t="s">
        <v>145</v>
      </c>
      <c r="B44" s="3" t="s">
        <v>253</v>
      </c>
      <c r="C44" s="4">
        <v>0</v>
      </c>
      <c r="D44" s="4" t="s">
        <v>254</v>
      </c>
      <c r="E44" s="4">
        <v>0</v>
      </c>
      <c r="F44" s="4" t="s">
        <v>255</v>
      </c>
      <c r="G44" s="4" t="s">
        <v>256</v>
      </c>
      <c r="H44" s="4" t="s">
        <v>104</v>
      </c>
    </row>
    <row r="45" spans="1:8" x14ac:dyDescent="0.25">
      <c r="A45" s="4" t="s">
        <v>202</v>
      </c>
      <c r="B45" s="4" t="s">
        <v>257</v>
      </c>
      <c r="C45" s="4">
        <v>4</v>
      </c>
      <c r="D45" s="4" t="s">
        <v>113</v>
      </c>
      <c r="E45" s="4">
        <v>4</v>
      </c>
      <c r="F45" s="4" t="s">
        <v>258</v>
      </c>
      <c r="G45" s="4" t="s">
        <v>256</v>
      </c>
      <c r="H45" s="4" t="s">
        <v>104</v>
      </c>
    </row>
    <row r="46" spans="1:8" x14ac:dyDescent="0.25">
      <c r="A46" s="4" t="s">
        <v>202</v>
      </c>
      <c r="B46" s="4" t="s">
        <v>259</v>
      </c>
      <c r="C46" s="4">
        <v>4</v>
      </c>
      <c r="D46" s="4" t="s">
        <v>113</v>
      </c>
      <c r="E46" s="4">
        <v>4</v>
      </c>
      <c r="F46" s="4" t="s">
        <v>258</v>
      </c>
      <c r="G46" s="4" t="s">
        <v>256</v>
      </c>
      <c r="H46" s="4" t="s">
        <v>104</v>
      </c>
    </row>
    <row r="47" spans="1:8" x14ac:dyDescent="0.25">
      <c r="A47" s="4" t="s">
        <v>209</v>
      </c>
      <c r="B47" s="4" t="s">
        <v>260</v>
      </c>
      <c r="C47" s="4" t="s">
        <v>261</v>
      </c>
      <c r="D47" s="4" t="s">
        <v>104</v>
      </c>
      <c r="E47" s="4" t="s">
        <v>261</v>
      </c>
      <c r="F47" s="4" t="s">
        <v>33</v>
      </c>
      <c r="G47" s="4" t="s">
        <v>256</v>
      </c>
      <c r="H47" s="4" t="s">
        <v>104</v>
      </c>
    </row>
    <row r="48" spans="1:8" x14ac:dyDescent="0.25">
      <c r="A48" s="4" t="s">
        <v>209</v>
      </c>
      <c r="B48" s="4" t="s">
        <v>262</v>
      </c>
      <c r="C48" s="4">
        <v>9</v>
      </c>
      <c r="D48" s="4" t="s">
        <v>109</v>
      </c>
      <c r="E48" s="4">
        <v>9</v>
      </c>
      <c r="F48" s="4" t="s">
        <v>263</v>
      </c>
      <c r="G48" s="4" t="s">
        <v>264</v>
      </c>
      <c r="H48" s="4" t="s">
        <v>104</v>
      </c>
    </row>
    <row r="49" spans="1:8" x14ac:dyDescent="0.25">
      <c r="A49" s="4" t="s">
        <v>209</v>
      </c>
      <c r="B49" s="4" t="s">
        <v>265</v>
      </c>
      <c r="C49" s="4">
        <v>12</v>
      </c>
      <c r="D49" s="4" t="s">
        <v>266</v>
      </c>
      <c r="E49" s="4">
        <v>12</v>
      </c>
      <c r="F49" s="4" t="s">
        <v>267</v>
      </c>
      <c r="G49" s="4" t="s">
        <v>256</v>
      </c>
      <c r="H49" s="4" t="s">
        <v>104</v>
      </c>
    </row>
    <row r="50" spans="1:8" x14ac:dyDescent="0.25">
      <c r="A50" s="4" t="s">
        <v>268</v>
      </c>
      <c r="B50" s="4" t="s">
        <v>269</v>
      </c>
      <c r="C50" s="4">
        <v>10000</v>
      </c>
      <c r="D50" s="4" t="s">
        <v>101</v>
      </c>
      <c r="E50" s="4">
        <v>10000</v>
      </c>
      <c r="F50" s="4" t="s">
        <v>106</v>
      </c>
      <c r="G50" s="4" t="s">
        <v>264</v>
      </c>
      <c r="H50" s="4" t="s">
        <v>104</v>
      </c>
    </row>
    <row r="51" spans="1:8" x14ac:dyDescent="0.25">
      <c r="A51" s="4" t="s">
        <v>268</v>
      </c>
      <c r="B51" s="4" t="s">
        <v>270</v>
      </c>
      <c r="C51" s="4">
        <v>2</v>
      </c>
      <c r="D51" s="4" t="s">
        <v>271</v>
      </c>
      <c r="E51" s="4">
        <v>2</v>
      </c>
      <c r="F51" s="4" t="s">
        <v>272</v>
      </c>
      <c r="G51" s="4" t="s">
        <v>256</v>
      </c>
      <c r="H51" s="4" t="s">
        <v>104</v>
      </c>
    </row>
    <row r="52" spans="1:8" x14ac:dyDescent="0.25">
      <c r="A52" s="4" t="s">
        <v>268</v>
      </c>
      <c r="B52" s="4" t="s">
        <v>273</v>
      </c>
      <c r="C52" s="4" t="s">
        <v>33</v>
      </c>
      <c r="D52" s="4" t="s">
        <v>173</v>
      </c>
      <c r="E52" s="4" t="s">
        <v>33</v>
      </c>
      <c r="F52" s="4" t="s">
        <v>274</v>
      </c>
      <c r="G52" s="4" t="s">
        <v>275</v>
      </c>
      <c r="H52" s="4" t="s">
        <v>104</v>
      </c>
    </row>
    <row r="53" spans="1:8" x14ac:dyDescent="0.25">
      <c r="A53" s="4" t="s">
        <v>268</v>
      </c>
      <c r="B53" s="4" t="s">
        <v>276</v>
      </c>
      <c r="C53" s="4">
        <v>65000</v>
      </c>
      <c r="D53" s="4" t="s">
        <v>186</v>
      </c>
      <c r="E53" s="4">
        <v>65000</v>
      </c>
      <c r="F53" s="4" t="s">
        <v>277</v>
      </c>
      <c r="G53" s="3" t="s">
        <v>278</v>
      </c>
      <c r="H53" s="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8" customWidth="1"/>
    <col min="4" max="5" width="12" customWidth="1"/>
    <col min="6" max="7" width="60" customWidth="1"/>
    <col min="8" max="8" width="50" customWidth="1"/>
    <col min="9" max="9" width="70" customWidth="1"/>
    <col min="10" max="12" width="12" customWidth="1"/>
    <col min="13" max="15" width="14" customWidth="1"/>
    <col min="16" max="16" width="12" customWidth="1"/>
    <col min="17" max="18" width="14" customWidth="1"/>
    <col min="19" max="19" width="16" customWidth="1"/>
  </cols>
  <sheetData>
    <row r="1" spans="1:9" x14ac:dyDescent="0.25">
      <c r="A1" s="6" t="s">
        <v>279</v>
      </c>
      <c r="B1" s="6" t="s">
        <v>280</v>
      </c>
      <c r="C1" s="6" t="s">
        <v>281</v>
      </c>
      <c r="D1" s="6" t="s">
        <v>282</v>
      </c>
      <c r="E1" s="6" t="s">
        <v>283</v>
      </c>
      <c r="F1" s="6" t="s">
        <v>284</v>
      </c>
      <c r="G1" s="6" t="s">
        <v>285</v>
      </c>
      <c r="H1" s="6" t="s">
        <v>286</v>
      </c>
      <c r="I1" s="6" t="s">
        <v>287</v>
      </c>
    </row>
    <row r="2" spans="1:9" x14ac:dyDescent="0.25">
      <c r="A2" s="3" t="s">
        <v>288</v>
      </c>
      <c r="B2" s="3" t="s">
        <v>289</v>
      </c>
      <c r="C2" s="4" t="s">
        <v>290</v>
      </c>
      <c r="D2" s="11">
        <v>72</v>
      </c>
      <c r="E2" s="4" t="s">
        <v>291</v>
      </c>
      <c r="F2" s="3" t="s">
        <v>292</v>
      </c>
      <c r="G2" s="3" t="s">
        <v>293</v>
      </c>
      <c r="H2" s="4" t="s">
        <v>33</v>
      </c>
      <c r="I2" s="3" t="s">
        <v>294</v>
      </c>
    </row>
    <row r="3" spans="1:9" x14ac:dyDescent="0.25">
      <c r="A3" s="3" t="s">
        <v>288</v>
      </c>
      <c r="B3" s="4" t="s">
        <v>295</v>
      </c>
      <c r="C3" s="4" t="s">
        <v>296</v>
      </c>
      <c r="D3" s="11">
        <v>68</v>
      </c>
      <c r="E3" s="4" t="s">
        <v>291</v>
      </c>
      <c r="F3" s="3" t="s">
        <v>297</v>
      </c>
      <c r="G3" s="3" t="s">
        <v>298</v>
      </c>
      <c r="H3" s="3" t="s">
        <v>299</v>
      </c>
      <c r="I3" s="3" t="s">
        <v>300</v>
      </c>
    </row>
    <row r="4" spans="1:9" x14ac:dyDescent="0.25">
      <c r="A4" s="3" t="s">
        <v>288</v>
      </c>
      <c r="B4" s="4" t="s">
        <v>301</v>
      </c>
      <c r="C4" s="4" t="s">
        <v>296</v>
      </c>
      <c r="D4" s="11">
        <v>66</v>
      </c>
      <c r="E4" s="4" t="s">
        <v>291</v>
      </c>
      <c r="F4" s="3" t="s">
        <v>302</v>
      </c>
      <c r="G4" s="3" t="s">
        <v>303</v>
      </c>
      <c r="H4" s="3" t="s">
        <v>299</v>
      </c>
      <c r="I4" s="3" t="s">
        <v>304</v>
      </c>
    </row>
    <row r="5" spans="1:9" x14ac:dyDescent="0.25">
      <c r="A5" s="3" t="s">
        <v>288</v>
      </c>
      <c r="B5" s="4" t="s">
        <v>305</v>
      </c>
      <c r="C5" s="4" t="s">
        <v>296</v>
      </c>
      <c r="D5" s="11">
        <v>60</v>
      </c>
      <c r="E5" s="4" t="s">
        <v>291</v>
      </c>
      <c r="F5" s="3" t="s">
        <v>306</v>
      </c>
      <c r="G5" s="3" t="s">
        <v>307</v>
      </c>
      <c r="H5" s="3" t="s">
        <v>308</v>
      </c>
      <c r="I5" s="3" t="s">
        <v>309</v>
      </c>
    </row>
    <row r="6" spans="1:9" x14ac:dyDescent="0.25">
      <c r="A6" s="3" t="s">
        <v>288</v>
      </c>
      <c r="B6" s="3" t="s">
        <v>310</v>
      </c>
      <c r="C6" s="4" t="s">
        <v>296</v>
      </c>
      <c r="D6" s="11">
        <v>60</v>
      </c>
      <c r="E6" s="4" t="s">
        <v>291</v>
      </c>
      <c r="F6" s="3" t="s">
        <v>311</v>
      </c>
      <c r="G6" s="3" t="s">
        <v>312</v>
      </c>
      <c r="H6" s="3" t="s">
        <v>299</v>
      </c>
      <c r="I6" s="3" t="s">
        <v>313</v>
      </c>
    </row>
    <row r="7" spans="1:9" x14ac:dyDescent="0.25">
      <c r="A7" s="3" t="s">
        <v>288</v>
      </c>
      <c r="B7" s="4" t="s">
        <v>314</v>
      </c>
      <c r="C7" s="4" t="s">
        <v>296</v>
      </c>
      <c r="D7" s="11">
        <v>47</v>
      </c>
      <c r="E7" s="4" t="s">
        <v>291</v>
      </c>
      <c r="F7" s="3" t="s">
        <v>315</v>
      </c>
      <c r="G7" s="3" t="s">
        <v>316</v>
      </c>
      <c r="H7" s="3" t="s">
        <v>308</v>
      </c>
      <c r="I7" s="3" t="s">
        <v>317</v>
      </c>
    </row>
    <row r="8" spans="1:9" x14ac:dyDescent="0.25">
      <c r="A8" s="3" t="s">
        <v>288</v>
      </c>
      <c r="B8" s="4" t="s">
        <v>318</v>
      </c>
      <c r="C8" s="4" t="s">
        <v>296</v>
      </c>
      <c r="D8" s="11">
        <v>38</v>
      </c>
      <c r="E8" s="4" t="s">
        <v>291</v>
      </c>
      <c r="F8" s="3" t="s">
        <v>319</v>
      </c>
      <c r="G8" s="3" t="s">
        <v>320</v>
      </c>
      <c r="H8" s="3" t="s">
        <v>308</v>
      </c>
      <c r="I8" s="3" t="s">
        <v>321</v>
      </c>
    </row>
    <row r="9" spans="1:9" x14ac:dyDescent="0.25">
      <c r="A9" s="3" t="s">
        <v>288</v>
      </c>
      <c r="B9" s="4" t="s">
        <v>322</v>
      </c>
      <c r="C9" s="4" t="s">
        <v>296</v>
      </c>
      <c r="D9" s="11">
        <v>31</v>
      </c>
      <c r="E9" s="4" t="s">
        <v>291</v>
      </c>
      <c r="F9" s="3" t="s">
        <v>319</v>
      </c>
      <c r="G9" s="3" t="s">
        <v>323</v>
      </c>
      <c r="H9" s="3" t="s">
        <v>308</v>
      </c>
      <c r="I9" s="3" t="s">
        <v>324</v>
      </c>
    </row>
    <row r="10" spans="1:9" x14ac:dyDescent="0.25">
      <c r="A10" s="3" t="s">
        <v>288</v>
      </c>
      <c r="B10" s="4" t="s">
        <v>325</v>
      </c>
      <c r="C10" s="4" t="s">
        <v>326</v>
      </c>
      <c r="D10" s="11">
        <v>42</v>
      </c>
      <c r="E10" s="4" t="s">
        <v>291</v>
      </c>
      <c r="F10" s="3" t="s">
        <v>327</v>
      </c>
      <c r="G10" s="3" t="s">
        <v>328</v>
      </c>
      <c r="H10" s="3" t="s">
        <v>329</v>
      </c>
      <c r="I10" s="3" t="s">
        <v>330</v>
      </c>
    </row>
    <row r="11" spans="1:9" x14ac:dyDescent="0.25">
      <c r="A11" s="3" t="s">
        <v>288</v>
      </c>
      <c r="B11" s="4" t="s">
        <v>331</v>
      </c>
      <c r="C11" s="4" t="s">
        <v>326</v>
      </c>
      <c r="D11" s="11">
        <v>27</v>
      </c>
      <c r="E11" s="4" t="s">
        <v>291</v>
      </c>
      <c r="F11" s="3" t="s">
        <v>332</v>
      </c>
      <c r="G11" s="3" t="s">
        <v>333</v>
      </c>
      <c r="H11" s="3" t="s">
        <v>334</v>
      </c>
      <c r="I11" s="3" t="s">
        <v>335</v>
      </c>
    </row>
    <row r="12" spans="1:9" x14ac:dyDescent="0.25">
      <c r="A12" s="3" t="s">
        <v>288</v>
      </c>
      <c r="B12" s="4" t="s">
        <v>336</v>
      </c>
      <c r="C12" s="4" t="s">
        <v>326</v>
      </c>
      <c r="D12" s="11">
        <v>27</v>
      </c>
      <c r="E12" s="4" t="s">
        <v>291</v>
      </c>
      <c r="F12" s="3" t="s">
        <v>337</v>
      </c>
      <c r="G12" s="3" t="s">
        <v>338</v>
      </c>
      <c r="H12" s="3" t="s">
        <v>334</v>
      </c>
      <c r="I12" s="3" t="s">
        <v>339</v>
      </c>
    </row>
    <row r="13" spans="1:9" x14ac:dyDescent="0.25">
      <c r="A13" s="3" t="s">
        <v>288</v>
      </c>
      <c r="B13" s="4" t="s">
        <v>340</v>
      </c>
      <c r="C13" s="4" t="s">
        <v>341</v>
      </c>
      <c r="D13" s="11" t="s">
        <v>33</v>
      </c>
      <c r="E13" s="4" t="s">
        <v>291</v>
      </c>
      <c r="F13" s="3" t="s">
        <v>342</v>
      </c>
      <c r="G13" s="3" t="s">
        <v>343</v>
      </c>
      <c r="H13" s="3" t="s">
        <v>299</v>
      </c>
      <c r="I13" s="4" t="s">
        <v>33</v>
      </c>
    </row>
    <row r="14" spans="1:9" x14ac:dyDescent="0.25">
      <c r="A14" s="3" t="s">
        <v>288</v>
      </c>
      <c r="B14" s="4" t="s">
        <v>344</v>
      </c>
      <c r="C14" s="4" t="s">
        <v>341</v>
      </c>
      <c r="D14" s="11" t="s">
        <v>33</v>
      </c>
      <c r="E14" s="4" t="s">
        <v>291</v>
      </c>
      <c r="F14" s="3" t="s">
        <v>345</v>
      </c>
      <c r="G14" s="3" t="s">
        <v>346</v>
      </c>
      <c r="H14" s="3" t="s">
        <v>299</v>
      </c>
      <c r="I14" s="4" t="s">
        <v>33</v>
      </c>
    </row>
    <row r="15" spans="1:9" x14ac:dyDescent="0.25">
      <c r="A15" s="3" t="s">
        <v>288</v>
      </c>
      <c r="B15" s="4" t="s">
        <v>347</v>
      </c>
      <c r="C15" s="4" t="s">
        <v>341</v>
      </c>
      <c r="D15" s="11" t="s">
        <v>33</v>
      </c>
      <c r="E15" s="4" t="s">
        <v>291</v>
      </c>
      <c r="F15" s="3" t="s">
        <v>348</v>
      </c>
      <c r="G15" s="3" t="s">
        <v>349</v>
      </c>
      <c r="H15" s="3" t="s">
        <v>329</v>
      </c>
      <c r="I15" s="4" t="s">
        <v>33</v>
      </c>
    </row>
    <row r="16" spans="1:9" x14ac:dyDescent="0.25">
      <c r="A16" s="3" t="s">
        <v>288</v>
      </c>
      <c r="B16" s="4" t="s">
        <v>350</v>
      </c>
      <c r="C16" s="4" t="s">
        <v>341</v>
      </c>
      <c r="D16" s="11" t="s">
        <v>33</v>
      </c>
      <c r="E16" s="4" t="s">
        <v>291</v>
      </c>
      <c r="F16" s="3" t="s">
        <v>351</v>
      </c>
      <c r="G16" s="3" t="s">
        <v>352</v>
      </c>
      <c r="H16" s="3" t="s">
        <v>308</v>
      </c>
      <c r="I16" s="4" t="s">
        <v>33</v>
      </c>
    </row>
    <row r="17" spans="1:9" x14ac:dyDescent="0.25">
      <c r="A17" s="3" t="s">
        <v>288</v>
      </c>
      <c r="B17" s="4" t="s">
        <v>353</v>
      </c>
      <c r="C17" s="4" t="s">
        <v>341</v>
      </c>
      <c r="D17" s="11" t="s">
        <v>33</v>
      </c>
      <c r="E17" s="4" t="s">
        <v>291</v>
      </c>
      <c r="F17" s="3" t="s">
        <v>354</v>
      </c>
      <c r="G17" s="3" t="s">
        <v>355</v>
      </c>
      <c r="H17" s="3" t="s">
        <v>334</v>
      </c>
      <c r="I17" s="4" t="s">
        <v>33</v>
      </c>
    </row>
    <row r="18" spans="1:9" x14ac:dyDescent="0.25">
      <c r="A18" s="3" t="s">
        <v>288</v>
      </c>
      <c r="B18" s="4" t="s">
        <v>356</v>
      </c>
      <c r="C18" s="4" t="s">
        <v>341</v>
      </c>
      <c r="D18" s="11" t="s">
        <v>33</v>
      </c>
      <c r="E18" s="4" t="s">
        <v>291</v>
      </c>
      <c r="F18" s="3" t="s">
        <v>357</v>
      </c>
      <c r="G18" s="3" t="s">
        <v>338</v>
      </c>
      <c r="H18" s="3" t="s">
        <v>334</v>
      </c>
      <c r="I18" s="4" t="s">
        <v>33</v>
      </c>
    </row>
    <row r="19" spans="1:9" x14ac:dyDescent="0.25">
      <c r="A19" s="4" t="s">
        <v>358</v>
      </c>
      <c r="B19" s="4" t="s">
        <v>344</v>
      </c>
      <c r="C19" s="4" t="s">
        <v>296</v>
      </c>
      <c r="D19" s="11">
        <v>47</v>
      </c>
      <c r="E19" s="4" t="s">
        <v>291</v>
      </c>
      <c r="F19" s="3" t="s">
        <v>359</v>
      </c>
      <c r="G19" s="3" t="s">
        <v>346</v>
      </c>
      <c r="H19" s="3" t="s">
        <v>299</v>
      </c>
      <c r="I19" s="3" t="s">
        <v>360</v>
      </c>
    </row>
    <row r="20" spans="1:9" x14ac:dyDescent="0.25">
      <c r="A20" s="4" t="s">
        <v>358</v>
      </c>
      <c r="B20" s="4" t="s">
        <v>325</v>
      </c>
      <c r="C20" s="4" t="s">
        <v>296</v>
      </c>
      <c r="D20" s="11">
        <v>42</v>
      </c>
      <c r="E20" s="4" t="s">
        <v>291</v>
      </c>
      <c r="F20" s="3" t="s">
        <v>361</v>
      </c>
      <c r="G20" s="3" t="s">
        <v>328</v>
      </c>
      <c r="H20" s="3" t="s">
        <v>299</v>
      </c>
      <c r="I20" s="3" t="s">
        <v>362</v>
      </c>
    </row>
    <row r="21" spans="1:9" x14ac:dyDescent="0.25">
      <c r="A21" s="4" t="s">
        <v>358</v>
      </c>
      <c r="B21" s="4" t="s">
        <v>305</v>
      </c>
      <c r="C21" s="4" t="s">
        <v>296</v>
      </c>
      <c r="D21" s="11">
        <v>41</v>
      </c>
      <c r="E21" s="4" t="s">
        <v>291</v>
      </c>
      <c r="F21" s="3" t="s">
        <v>363</v>
      </c>
      <c r="G21" s="3" t="s">
        <v>364</v>
      </c>
      <c r="H21" s="3" t="s">
        <v>299</v>
      </c>
      <c r="I21" s="3" t="s">
        <v>365</v>
      </c>
    </row>
    <row r="22" spans="1:9" x14ac:dyDescent="0.25">
      <c r="A22" s="4" t="s">
        <v>358</v>
      </c>
      <c r="B22" s="4" t="s">
        <v>322</v>
      </c>
      <c r="C22" s="4" t="s">
        <v>296</v>
      </c>
      <c r="D22" s="11">
        <v>38</v>
      </c>
      <c r="E22" s="4" t="s">
        <v>291</v>
      </c>
      <c r="F22" s="3" t="s">
        <v>361</v>
      </c>
      <c r="G22" s="3" t="s">
        <v>323</v>
      </c>
      <c r="H22" s="3" t="s">
        <v>299</v>
      </c>
      <c r="I22" s="3" t="s">
        <v>366</v>
      </c>
    </row>
    <row r="23" spans="1:9" x14ac:dyDescent="0.25">
      <c r="A23" s="4" t="s">
        <v>358</v>
      </c>
      <c r="B23" s="4" t="s">
        <v>347</v>
      </c>
      <c r="C23" s="4" t="s">
        <v>326</v>
      </c>
      <c r="D23" s="11">
        <v>43</v>
      </c>
      <c r="E23" s="4" t="s">
        <v>291</v>
      </c>
      <c r="F23" s="3" t="s">
        <v>367</v>
      </c>
      <c r="G23" s="3" t="s">
        <v>349</v>
      </c>
      <c r="H23" s="3" t="s">
        <v>329</v>
      </c>
      <c r="I23" s="3" t="s">
        <v>368</v>
      </c>
    </row>
    <row r="24" spans="1:9" x14ac:dyDescent="0.25">
      <c r="A24" s="4" t="s">
        <v>358</v>
      </c>
      <c r="B24" s="4" t="s">
        <v>331</v>
      </c>
      <c r="C24" s="4" t="s">
        <v>341</v>
      </c>
      <c r="D24" s="11" t="s">
        <v>33</v>
      </c>
      <c r="E24" s="4" t="s">
        <v>291</v>
      </c>
      <c r="F24" s="3" t="s">
        <v>369</v>
      </c>
      <c r="G24" s="3" t="s">
        <v>333</v>
      </c>
      <c r="H24" s="3" t="s">
        <v>329</v>
      </c>
      <c r="I24" s="4" t="s">
        <v>33</v>
      </c>
    </row>
    <row r="25" spans="1:9" x14ac:dyDescent="0.25">
      <c r="A25" s="4" t="s">
        <v>358</v>
      </c>
      <c r="B25" s="4" t="s">
        <v>318</v>
      </c>
      <c r="C25" s="4" t="s">
        <v>341</v>
      </c>
      <c r="D25" s="11" t="s">
        <v>33</v>
      </c>
      <c r="E25" s="4" t="s">
        <v>291</v>
      </c>
      <c r="F25" s="3" t="s">
        <v>370</v>
      </c>
      <c r="G25" s="3" t="s">
        <v>371</v>
      </c>
      <c r="H25" s="3" t="s">
        <v>299</v>
      </c>
      <c r="I25" s="4" t="s">
        <v>33</v>
      </c>
    </row>
    <row r="26" spans="1:9" x14ac:dyDescent="0.25">
      <c r="A26" s="4" t="s">
        <v>372</v>
      </c>
      <c r="B26" s="4" t="s">
        <v>373</v>
      </c>
      <c r="C26" s="4" t="s">
        <v>296</v>
      </c>
      <c r="D26" s="11">
        <v>49</v>
      </c>
      <c r="E26" s="4" t="s">
        <v>291</v>
      </c>
      <c r="F26" s="3" t="s">
        <v>374</v>
      </c>
      <c r="G26" s="3" t="s">
        <v>375</v>
      </c>
      <c r="H26" s="3" t="s">
        <v>299</v>
      </c>
      <c r="I26" s="3" t="s">
        <v>376</v>
      </c>
    </row>
    <row r="27" spans="1:9" x14ac:dyDescent="0.25">
      <c r="A27" s="4" t="s">
        <v>372</v>
      </c>
      <c r="B27" s="4" t="s">
        <v>377</v>
      </c>
      <c r="C27" s="4" t="s">
        <v>296</v>
      </c>
      <c r="D27" s="11">
        <v>41</v>
      </c>
      <c r="E27" s="4" t="s">
        <v>291</v>
      </c>
      <c r="F27" s="3" t="s">
        <v>378</v>
      </c>
      <c r="G27" s="3" t="s">
        <v>349</v>
      </c>
      <c r="H27" s="3" t="s">
        <v>299</v>
      </c>
      <c r="I27" s="3" t="s">
        <v>379</v>
      </c>
    </row>
    <row r="28" spans="1:9" x14ac:dyDescent="0.25">
      <c r="A28" s="4" t="s">
        <v>372</v>
      </c>
      <c r="B28" s="4" t="s">
        <v>380</v>
      </c>
      <c r="C28" s="4" t="s">
        <v>296</v>
      </c>
      <c r="D28" s="11">
        <v>40</v>
      </c>
      <c r="E28" s="4" t="s">
        <v>291</v>
      </c>
      <c r="F28" s="3" t="s">
        <v>381</v>
      </c>
      <c r="G28" s="3" t="s">
        <v>349</v>
      </c>
      <c r="H28" s="3" t="s">
        <v>299</v>
      </c>
      <c r="I28" s="3" t="s">
        <v>382</v>
      </c>
    </row>
    <row r="29" spans="1:9" x14ac:dyDescent="0.25">
      <c r="A29" s="4" t="s">
        <v>372</v>
      </c>
      <c r="B29" s="4" t="s">
        <v>383</v>
      </c>
      <c r="C29" s="4" t="s">
        <v>296</v>
      </c>
      <c r="D29" s="11">
        <v>36</v>
      </c>
      <c r="E29" s="4" t="s">
        <v>291</v>
      </c>
      <c r="F29" s="3" t="s">
        <v>384</v>
      </c>
      <c r="G29" s="3" t="s">
        <v>385</v>
      </c>
      <c r="H29" s="4" t="s">
        <v>33</v>
      </c>
      <c r="I29" s="3" t="s">
        <v>386</v>
      </c>
    </row>
    <row r="30" spans="1:9" x14ac:dyDescent="0.25">
      <c r="A30" s="4" t="s">
        <v>372</v>
      </c>
      <c r="B30" s="4" t="s">
        <v>387</v>
      </c>
      <c r="C30" s="4" t="s">
        <v>326</v>
      </c>
      <c r="D30" s="11">
        <v>36</v>
      </c>
      <c r="E30" s="4" t="s">
        <v>291</v>
      </c>
      <c r="F30" s="3" t="s">
        <v>388</v>
      </c>
      <c r="G30" s="3" t="s">
        <v>389</v>
      </c>
      <c r="H30" s="3" t="s">
        <v>329</v>
      </c>
      <c r="I30" s="3" t="s">
        <v>390</v>
      </c>
    </row>
    <row r="31" spans="1:9" x14ac:dyDescent="0.25">
      <c r="A31" s="4" t="s">
        <v>372</v>
      </c>
      <c r="B31" s="4" t="s">
        <v>391</v>
      </c>
      <c r="C31" s="4" t="s">
        <v>326</v>
      </c>
      <c r="D31" s="11">
        <v>27</v>
      </c>
      <c r="E31" s="4" t="s">
        <v>291</v>
      </c>
      <c r="F31" s="3" t="s">
        <v>392</v>
      </c>
      <c r="G31" s="3" t="s">
        <v>393</v>
      </c>
      <c r="H31" s="3" t="s">
        <v>394</v>
      </c>
      <c r="I31" s="3" t="s">
        <v>395</v>
      </c>
    </row>
    <row r="32" spans="1:9" x14ac:dyDescent="0.25">
      <c r="A32" s="4" t="s">
        <v>372</v>
      </c>
      <c r="B32" s="4" t="s">
        <v>396</v>
      </c>
      <c r="C32" s="4" t="s">
        <v>341</v>
      </c>
      <c r="D32" s="11" t="s">
        <v>33</v>
      </c>
      <c r="E32" s="4" t="s">
        <v>291</v>
      </c>
      <c r="F32" s="3" t="s">
        <v>397</v>
      </c>
      <c r="G32" s="3" t="s">
        <v>398</v>
      </c>
      <c r="H32" s="3" t="s">
        <v>329</v>
      </c>
      <c r="I32" s="4" t="s">
        <v>33</v>
      </c>
    </row>
    <row r="33" spans="1:9" x14ac:dyDescent="0.25">
      <c r="A33" s="4" t="s">
        <v>399</v>
      </c>
      <c r="B33" s="4" t="s">
        <v>400</v>
      </c>
      <c r="C33" s="4" t="s">
        <v>296</v>
      </c>
      <c r="D33" s="11">
        <v>49</v>
      </c>
      <c r="E33" s="4" t="s">
        <v>291</v>
      </c>
      <c r="F33" s="3" t="s">
        <v>401</v>
      </c>
      <c r="G33" s="3" t="s">
        <v>349</v>
      </c>
      <c r="H33" s="3" t="s">
        <v>299</v>
      </c>
      <c r="I33" s="3" t="s">
        <v>402</v>
      </c>
    </row>
    <row r="34" spans="1:9" x14ac:dyDescent="0.25">
      <c r="A34" s="4" t="s">
        <v>399</v>
      </c>
      <c r="B34" s="4" t="s">
        <v>403</v>
      </c>
      <c r="C34" s="4" t="s">
        <v>296</v>
      </c>
      <c r="D34" s="11">
        <v>38</v>
      </c>
      <c r="E34" s="4" t="s">
        <v>291</v>
      </c>
      <c r="F34" s="3" t="s">
        <v>404</v>
      </c>
      <c r="G34" s="3" t="s">
        <v>405</v>
      </c>
      <c r="H34" s="3" t="s">
        <v>299</v>
      </c>
      <c r="I34" s="3" t="s">
        <v>406</v>
      </c>
    </row>
    <row r="35" spans="1:9" x14ac:dyDescent="0.25">
      <c r="A35" s="4" t="s">
        <v>407</v>
      </c>
      <c r="B35" s="4" t="s">
        <v>408</v>
      </c>
      <c r="C35" s="4" t="s">
        <v>296</v>
      </c>
      <c r="D35" s="11">
        <v>33</v>
      </c>
      <c r="E35" s="4" t="s">
        <v>291</v>
      </c>
      <c r="F35" s="3" t="s">
        <v>409</v>
      </c>
      <c r="G35" s="3" t="s">
        <v>349</v>
      </c>
      <c r="H35" s="3" t="s">
        <v>308</v>
      </c>
      <c r="I35" s="3" t="s">
        <v>410</v>
      </c>
    </row>
    <row r="36" spans="1:9" x14ac:dyDescent="0.25">
      <c r="A36" s="4" t="s">
        <v>407</v>
      </c>
      <c r="B36" s="4" t="s">
        <v>411</v>
      </c>
      <c r="C36" s="4" t="s">
        <v>326</v>
      </c>
      <c r="D36" s="11">
        <v>33</v>
      </c>
      <c r="E36" s="4" t="s">
        <v>291</v>
      </c>
      <c r="F36" s="3" t="s">
        <v>412</v>
      </c>
      <c r="G36" s="3" t="s">
        <v>413</v>
      </c>
      <c r="H36" s="3" t="s">
        <v>414</v>
      </c>
      <c r="I36" s="3" t="s">
        <v>410</v>
      </c>
    </row>
    <row r="37" spans="1:9" x14ac:dyDescent="0.25">
      <c r="A37" s="4" t="s">
        <v>268</v>
      </c>
      <c r="B37" s="4" t="s">
        <v>415</v>
      </c>
      <c r="C37" s="4" t="s">
        <v>296</v>
      </c>
      <c r="D37" s="11">
        <v>45</v>
      </c>
      <c r="E37" s="4" t="s">
        <v>291</v>
      </c>
      <c r="F37" s="3" t="s">
        <v>416</v>
      </c>
      <c r="G37" s="3" t="s">
        <v>349</v>
      </c>
      <c r="H37" s="4" t="s">
        <v>33</v>
      </c>
      <c r="I37" s="3" t="s">
        <v>417</v>
      </c>
    </row>
    <row r="38" spans="1:9" x14ac:dyDescent="0.25">
      <c r="A38" s="4" t="s">
        <v>268</v>
      </c>
      <c r="B38" s="4" t="s">
        <v>418</v>
      </c>
      <c r="C38" s="4" t="s">
        <v>296</v>
      </c>
      <c r="D38" s="11">
        <v>42</v>
      </c>
      <c r="E38" s="4" t="s">
        <v>291</v>
      </c>
      <c r="F38" s="3" t="s">
        <v>419</v>
      </c>
      <c r="G38" s="3" t="s">
        <v>420</v>
      </c>
      <c r="H38" s="4" t="s">
        <v>33</v>
      </c>
      <c r="I38" s="3" t="s">
        <v>421</v>
      </c>
    </row>
    <row r="39" spans="1:9" x14ac:dyDescent="0.25">
      <c r="A39" s="4" t="s">
        <v>268</v>
      </c>
      <c r="B39" s="4" t="s">
        <v>422</v>
      </c>
      <c r="C39" s="4" t="s">
        <v>296</v>
      </c>
      <c r="D39" s="11">
        <v>42</v>
      </c>
      <c r="E39" s="4" t="s">
        <v>291</v>
      </c>
      <c r="F39" s="3" t="s">
        <v>423</v>
      </c>
      <c r="G39" s="3" t="s">
        <v>420</v>
      </c>
      <c r="H39" s="4" t="s">
        <v>33</v>
      </c>
      <c r="I39" s="3" t="s">
        <v>424</v>
      </c>
    </row>
    <row r="40" spans="1:9" x14ac:dyDescent="0.25">
      <c r="A40" s="4" t="s">
        <v>268</v>
      </c>
      <c r="B40" s="4" t="s">
        <v>425</v>
      </c>
      <c r="C40" s="4" t="s">
        <v>296</v>
      </c>
      <c r="D40" s="11">
        <v>33</v>
      </c>
      <c r="E40" s="4" t="s">
        <v>291</v>
      </c>
      <c r="F40" s="3" t="s">
        <v>426</v>
      </c>
      <c r="G40" s="3" t="s">
        <v>427</v>
      </c>
      <c r="H40" s="3" t="s">
        <v>308</v>
      </c>
      <c r="I40" s="3" t="s">
        <v>428</v>
      </c>
    </row>
    <row r="41" spans="1:9" x14ac:dyDescent="0.25">
      <c r="A41" s="4" t="s">
        <v>268</v>
      </c>
      <c r="B41" s="4" t="s">
        <v>429</v>
      </c>
      <c r="C41" s="4" t="s">
        <v>296</v>
      </c>
      <c r="D41" s="11">
        <v>33</v>
      </c>
      <c r="E41" s="4" t="s">
        <v>291</v>
      </c>
      <c r="F41" s="3" t="s">
        <v>426</v>
      </c>
      <c r="G41" s="3" t="s">
        <v>430</v>
      </c>
      <c r="H41" s="3" t="s">
        <v>308</v>
      </c>
      <c r="I41" s="3" t="s">
        <v>431</v>
      </c>
    </row>
    <row r="42" spans="1:9" x14ac:dyDescent="0.25">
      <c r="A42" s="4" t="s">
        <v>268</v>
      </c>
      <c r="B42" s="4" t="s">
        <v>432</v>
      </c>
      <c r="C42" s="4" t="s">
        <v>326</v>
      </c>
      <c r="D42" s="11">
        <v>28</v>
      </c>
      <c r="E42" s="4" t="s">
        <v>291</v>
      </c>
      <c r="F42" s="3" t="s">
        <v>433</v>
      </c>
      <c r="G42" s="3" t="s">
        <v>389</v>
      </c>
      <c r="H42" s="3" t="s">
        <v>334</v>
      </c>
      <c r="I42" s="3" t="s">
        <v>434</v>
      </c>
    </row>
    <row r="43" spans="1:9" x14ac:dyDescent="0.25">
      <c r="A43" s="4" t="s">
        <v>268</v>
      </c>
      <c r="B43" s="4" t="s">
        <v>435</v>
      </c>
      <c r="C43" s="4" t="s">
        <v>341</v>
      </c>
      <c r="D43" s="11" t="s">
        <v>33</v>
      </c>
      <c r="E43" s="4" t="s">
        <v>291</v>
      </c>
      <c r="F43" s="3" t="s">
        <v>397</v>
      </c>
      <c r="G43" s="3" t="s">
        <v>436</v>
      </c>
      <c r="H43" s="3" t="s">
        <v>334</v>
      </c>
      <c r="I43" s="4" t="s">
        <v>33</v>
      </c>
    </row>
    <row r="45" spans="1:1" x14ac:dyDescent="0.25">
      <c r="A45" s="5" t="s">
        <v>437</v>
      </c>
    </row>
    <row r="46" spans="1:19" x14ac:dyDescent="0.25">
      <c r="A46" s="6" t="s">
        <v>279</v>
      </c>
      <c r="B46" s="6" t="s">
        <v>280</v>
      </c>
      <c r="C46" s="6" t="s">
        <v>281</v>
      </c>
      <c r="D46" s="6" t="s">
        <v>438</v>
      </c>
      <c r="E46" s="6" t="s">
        <v>439</v>
      </c>
      <c r="F46" s="6" t="s">
        <v>440</v>
      </c>
      <c r="G46" s="6" t="s">
        <v>441</v>
      </c>
      <c r="H46" s="6" t="s">
        <v>442</v>
      </c>
      <c r="I46" s="6" t="s">
        <v>443</v>
      </c>
      <c r="J46" s="6" t="s">
        <v>444</v>
      </c>
      <c r="K46" s="6" t="s">
        <v>445</v>
      </c>
      <c r="L46" s="6" t="s">
        <v>446</v>
      </c>
      <c r="M46" s="6" t="s">
        <v>447</v>
      </c>
      <c r="N46" s="6" t="s">
        <v>448</v>
      </c>
      <c r="O46" s="6" t="s">
        <v>449</v>
      </c>
      <c r="P46" s="6" t="s">
        <v>450</v>
      </c>
      <c r="Q46" s="6" t="s">
        <v>451</v>
      </c>
      <c r="R46" s="6" t="s">
        <v>452</v>
      </c>
      <c r="S46" s="6" t="s">
        <v>453</v>
      </c>
    </row>
    <row r="47" spans="1:19" x14ac:dyDescent="0.25">
      <c r="A47" s="3" t="s">
        <v>288</v>
      </c>
      <c r="B47" s="3" t="s">
        <v>289</v>
      </c>
      <c r="C47" s="4" t="s">
        <v>290</v>
      </c>
      <c r="D47" s="4">
        <v>1500</v>
      </c>
      <c r="E47" s="4">
        <v>1.5</v>
      </c>
      <c r="F47" s="4">
        <v>90</v>
      </c>
      <c r="G47" s="4">
        <v>19.22573593904989</v>
      </c>
      <c r="H47" s="4">
        <v>19.22573593904989</v>
      </c>
      <c r="I47" s="4">
        <v>6</v>
      </c>
      <c r="J47" s="4">
        <v>18</v>
      </c>
      <c r="K47" s="4">
        <v>0.75</v>
      </c>
      <c r="L47" s="12">
        <v>11</v>
      </c>
      <c r="M47" s="12">
        <v>1</v>
      </c>
      <c r="N47" s="13">
        <v>2700000</v>
      </c>
      <c r="O47" s="13">
        <v>38500000</v>
      </c>
      <c r="P47" s="13">
        <v>-4108652.477817145</v>
      </c>
      <c r="Q47" s="14">
        <v>4.130191253812285</v>
      </c>
      <c r="R47" s="13">
        <v>100000</v>
      </c>
      <c r="S47" s="4">
        <v>94</v>
      </c>
    </row>
    <row r="48" spans="1:19" x14ac:dyDescent="0.25">
      <c r="A48" s="3" t="s">
        <v>288</v>
      </c>
      <c r="B48" s="4" t="s">
        <v>295</v>
      </c>
      <c r="C48" s="4" t="s">
        <v>296</v>
      </c>
      <c r="D48" s="4">
        <v>1500</v>
      </c>
      <c r="E48" s="4">
        <v>1.5</v>
      </c>
      <c r="F48" s="4" t="s">
        <v>33</v>
      </c>
      <c r="G48" s="4">
        <v>19.22573593904989</v>
      </c>
      <c r="H48" s="4">
        <v>19.22573593904989</v>
      </c>
      <c r="I48" s="4">
        <v>15</v>
      </c>
      <c r="J48" s="4">
        <v>120</v>
      </c>
      <c r="K48" s="4">
        <v>0.7</v>
      </c>
      <c r="L48" s="12">
        <v>11</v>
      </c>
      <c r="M48" s="12">
        <v>2</v>
      </c>
      <c r="N48" s="13">
        <v>2200000</v>
      </c>
      <c r="O48" s="13">
        <v>32780000</v>
      </c>
      <c r="P48" s="13">
        <v>3983161.9148210594</v>
      </c>
      <c r="Q48" s="14">
        <v>3.271423708965064</v>
      </c>
      <c r="R48" s="13" t="s">
        <v>33</v>
      </c>
      <c r="S48" s="4">
        <v>74</v>
      </c>
    </row>
    <row r="49" spans="1:19" x14ac:dyDescent="0.25">
      <c r="A49" s="3" t="s">
        <v>288</v>
      </c>
      <c r="B49" s="4" t="s">
        <v>301</v>
      </c>
      <c r="C49" s="4" t="s">
        <v>296</v>
      </c>
      <c r="D49" s="4">
        <v>800</v>
      </c>
      <c r="E49" s="4">
        <v>2</v>
      </c>
      <c r="F49" s="4" t="s">
        <v>33</v>
      </c>
      <c r="G49" s="4">
        <v>23.930321814503106</v>
      </c>
      <c r="H49" s="4">
        <v>23.930321814503106</v>
      </c>
      <c r="I49" s="4">
        <v>19</v>
      </c>
      <c r="J49" s="4">
        <v>120</v>
      </c>
      <c r="K49" s="4">
        <v>0.7</v>
      </c>
      <c r="L49" s="12">
        <v>9</v>
      </c>
      <c r="M49" s="12">
        <v>2</v>
      </c>
      <c r="N49" s="13">
        <v>1800000</v>
      </c>
      <c r="O49" s="13">
        <v>23760000</v>
      </c>
      <c r="P49" s="13">
        <v>18085343.09842416</v>
      </c>
      <c r="Q49" s="14">
        <v>2.0680813729172747</v>
      </c>
      <c r="R49" s="13" t="s">
        <v>33</v>
      </c>
      <c r="S49" s="4">
        <v>74</v>
      </c>
    </row>
    <row r="50" spans="1:19" x14ac:dyDescent="0.25">
      <c r="A50" s="3" t="s">
        <v>288</v>
      </c>
      <c r="B50" s="4" t="s">
        <v>305</v>
      </c>
      <c r="C50" s="4" t="s">
        <v>296</v>
      </c>
      <c r="D50" s="4">
        <v>2000</v>
      </c>
      <c r="E50" s="4">
        <v>2.6</v>
      </c>
      <c r="F50" s="4" t="s">
        <v>33</v>
      </c>
      <c r="G50" s="4">
        <v>20.577148867171136</v>
      </c>
      <c r="H50" s="4">
        <v>20.577148867171136</v>
      </c>
      <c r="I50" s="4">
        <v>7</v>
      </c>
      <c r="J50" s="4">
        <v>120</v>
      </c>
      <c r="K50" s="4" t="s">
        <v>33</v>
      </c>
      <c r="L50" s="12">
        <v>10</v>
      </c>
      <c r="M50" s="12">
        <v>4</v>
      </c>
      <c r="N50" s="13">
        <v>2940000</v>
      </c>
      <c r="O50" s="13">
        <v>39050000</v>
      </c>
      <c r="P50" s="13">
        <v>-5305015.284745923</v>
      </c>
      <c r="Q50" s="14">
        <v>4.270323656723386</v>
      </c>
      <c r="R50" s="13" t="s">
        <v>33</v>
      </c>
      <c r="S50" s="4">
        <v>77</v>
      </c>
    </row>
    <row r="51" spans="1:19" x14ac:dyDescent="0.25">
      <c r="A51" s="3" t="s">
        <v>288</v>
      </c>
      <c r="B51" s="3" t="s">
        <v>310</v>
      </c>
      <c r="C51" s="4" t="s">
        <v>296</v>
      </c>
      <c r="D51" s="4">
        <v>2000</v>
      </c>
      <c r="E51" s="4">
        <v>1</v>
      </c>
      <c r="F51" s="4" t="s">
        <v>33</v>
      </c>
      <c r="G51" s="4">
        <v>13.799791146781638</v>
      </c>
      <c r="H51" s="4">
        <v>13.799791146781638</v>
      </c>
      <c r="I51" s="4">
        <v>10</v>
      </c>
      <c r="J51" s="4">
        <v>78</v>
      </c>
      <c r="K51" s="4">
        <v>1.19</v>
      </c>
      <c r="L51" s="12">
        <v>15</v>
      </c>
      <c r="M51" s="12">
        <v>3</v>
      </c>
      <c r="N51" s="13">
        <v>2640000</v>
      </c>
      <c r="O51" s="13">
        <v>50490000</v>
      </c>
      <c r="P51" s="13">
        <v>-21011987.918986663</v>
      </c>
      <c r="Q51" s="14">
        <v>6.836380195840888</v>
      </c>
      <c r="R51" s="13" t="s">
        <v>33</v>
      </c>
      <c r="S51" s="4">
        <v>90</v>
      </c>
    </row>
    <row r="52" spans="1:19" x14ac:dyDescent="0.25">
      <c r="A52" s="3" t="s">
        <v>288</v>
      </c>
      <c r="B52" s="4" t="s">
        <v>314</v>
      </c>
      <c r="C52" s="4" t="s">
        <v>296</v>
      </c>
      <c r="D52" s="4">
        <v>1200</v>
      </c>
      <c r="E52" s="4">
        <v>2</v>
      </c>
      <c r="F52" s="4" t="s">
        <v>33</v>
      </c>
      <c r="G52" s="4">
        <v>23.930321814503106</v>
      </c>
      <c r="H52" s="4">
        <v>23.930321814503106</v>
      </c>
      <c r="I52" s="4">
        <v>8</v>
      </c>
      <c r="J52" s="4">
        <v>120</v>
      </c>
      <c r="K52" s="4" t="s">
        <v>33</v>
      </c>
      <c r="L52" s="12">
        <v>9</v>
      </c>
      <c r="M52" s="12">
        <v>3</v>
      </c>
      <c r="N52" s="13">
        <v>4000000</v>
      </c>
      <c r="O52" s="13">
        <v>45870000</v>
      </c>
      <c r="P52" s="13">
        <v>-15989168.01778207</v>
      </c>
      <c r="Q52" s="14">
        <v>5.716664583444311</v>
      </c>
      <c r="R52" s="13" t="s">
        <v>33</v>
      </c>
      <c r="S52" s="4">
        <v>74</v>
      </c>
    </row>
    <row r="53" spans="1:19" x14ac:dyDescent="0.25">
      <c r="A53" s="3" t="s">
        <v>288</v>
      </c>
      <c r="B53" s="4" t="s">
        <v>318</v>
      </c>
      <c r="C53" s="4" t="s">
        <v>296</v>
      </c>
      <c r="D53" s="4">
        <v>1500</v>
      </c>
      <c r="E53" s="4">
        <v>1.3</v>
      </c>
      <c r="F53" s="4" t="s">
        <v>33</v>
      </c>
      <c r="G53" s="4">
        <v>13.851337305357296</v>
      </c>
      <c r="H53" s="4">
        <v>13.851337305357296</v>
      </c>
      <c r="I53" s="4" t="s">
        <v>33</v>
      </c>
      <c r="J53" s="4" t="s">
        <v>33</v>
      </c>
      <c r="K53" s="4" t="s">
        <v>33</v>
      </c>
      <c r="L53" s="12">
        <v>15</v>
      </c>
      <c r="M53" s="12">
        <v>3</v>
      </c>
      <c r="N53" s="13">
        <v>3000000</v>
      </c>
      <c r="O53" s="13">
        <v>56430000</v>
      </c>
      <c r="P53" s="13">
        <v>-32731687.995707866</v>
      </c>
      <c r="Q53" s="14">
        <v>9.039665780164444</v>
      </c>
      <c r="R53" s="13" t="s">
        <v>33</v>
      </c>
      <c r="S53" s="4">
        <v>55</v>
      </c>
    </row>
    <row r="54" spans="1:19" x14ac:dyDescent="0.25">
      <c r="A54" s="3" t="s">
        <v>288</v>
      </c>
      <c r="B54" s="4" t="s">
        <v>322</v>
      </c>
      <c r="C54" s="4" t="s">
        <v>296</v>
      </c>
      <c r="D54" s="4">
        <v>1500</v>
      </c>
      <c r="E54" s="4">
        <v>1.5</v>
      </c>
      <c r="F54" s="4">
        <v>50</v>
      </c>
      <c r="G54" s="4">
        <v>15.173930616865015</v>
      </c>
      <c r="H54" s="4">
        <v>15.173930616865015</v>
      </c>
      <c r="I54" s="4">
        <v>10</v>
      </c>
      <c r="J54" s="4">
        <v>120</v>
      </c>
      <c r="K54" s="4" t="s">
        <v>33</v>
      </c>
      <c r="L54" s="12">
        <v>13</v>
      </c>
      <c r="M54" s="12">
        <v>4</v>
      </c>
      <c r="N54" s="13">
        <v>4300000</v>
      </c>
      <c r="O54" s="13">
        <v>68530000</v>
      </c>
      <c r="P54" s="13">
        <v>-51170176.51393798</v>
      </c>
      <c r="Q54" s="14">
        <v>15.561578741173932</v>
      </c>
      <c r="R54" s="13" t="s">
        <v>33</v>
      </c>
      <c r="S54" s="4">
        <v>81</v>
      </c>
    </row>
    <row r="55" spans="1:19" x14ac:dyDescent="0.25">
      <c r="A55" s="4" t="s">
        <v>358</v>
      </c>
      <c r="B55" s="4" t="s">
        <v>344</v>
      </c>
      <c r="C55" s="4" t="s">
        <v>296</v>
      </c>
      <c r="D55" s="4">
        <v>1400</v>
      </c>
      <c r="E55" s="4">
        <v>2</v>
      </c>
      <c r="F55" s="4">
        <v>30</v>
      </c>
      <c r="G55" s="4" t="s">
        <v>33</v>
      </c>
      <c r="H55" s="4">
        <v>30</v>
      </c>
      <c r="I55" s="4" t="s">
        <v>33</v>
      </c>
      <c r="J55" s="4">
        <v>120</v>
      </c>
      <c r="K55" s="4">
        <v>1.9</v>
      </c>
      <c r="L55" s="12" t="s">
        <v>33</v>
      </c>
      <c r="M55" s="12" t="s">
        <v>33</v>
      </c>
      <c r="N55" s="13">
        <v>2500000</v>
      </c>
      <c r="O55" s="13" t="s">
        <v>33</v>
      </c>
      <c r="P55" s="13" t="s">
        <v>33</v>
      </c>
      <c r="Q55" s="14" t="s">
        <v>33</v>
      </c>
      <c r="R55" s="13" t="s">
        <v>33</v>
      </c>
      <c r="S55" s="4">
        <v>81</v>
      </c>
    </row>
    <row r="56" spans="1:19" x14ac:dyDescent="0.25">
      <c r="A56" s="4" t="s">
        <v>358</v>
      </c>
      <c r="B56" s="4" t="s">
        <v>325</v>
      </c>
      <c r="C56" s="4" t="s">
        <v>296</v>
      </c>
      <c r="D56" s="4">
        <v>1500</v>
      </c>
      <c r="E56" s="4">
        <v>0.875</v>
      </c>
      <c r="F56" s="4" t="s">
        <v>33</v>
      </c>
      <c r="G56" s="4" t="s">
        <v>33</v>
      </c>
      <c r="H56" s="4" t="s">
        <v>33</v>
      </c>
      <c r="I56" s="4">
        <v>9</v>
      </c>
      <c r="J56" s="4" t="s">
        <v>33</v>
      </c>
      <c r="K56" s="4" t="s">
        <v>33</v>
      </c>
      <c r="L56" s="12" t="s">
        <v>33</v>
      </c>
      <c r="M56" s="12" t="s">
        <v>33</v>
      </c>
      <c r="N56" s="13">
        <v>7000000</v>
      </c>
      <c r="O56" s="13" t="s">
        <v>33</v>
      </c>
      <c r="P56" s="13" t="s">
        <v>33</v>
      </c>
      <c r="Q56" s="14" t="s">
        <v>33</v>
      </c>
      <c r="R56" s="13" t="s">
        <v>33</v>
      </c>
      <c r="S56" s="4">
        <v>74</v>
      </c>
    </row>
    <row r="57" spans="1:19" x14ac:dyDescent="0.25">
      <c r="A57" s="4" t="s">
        <v>358</v>
      </c>
      <c r="B57" s="4" t="s">
        <v>305</v>
      </c>
      <c r="C57" s="4" t="s">
        <v>296</v>
      </c>
      <c r="D57" s="4">
        <v>2000</v>
      </c>
      <c r="E57" s="4">
        <v>2.6</v>
      </c>
      <c r="F57" s="4" t="s">
        <v>33</v>
      </c>
      <c r="G57" s="4" t="s">
        <v>33</v>
      </c>
      <c r="H57" s="4" t="s">
        <v>33</v>
      </c>
      <c r="I57" s="4">
        <v>7</v>
      </c>
      <c r="J57" s="4">
        <v>120</v>
      </c>
      <c r="K57" s="4" t="s">
        <v>33</v>
      </c>
      <c r="L57" s="12" t="s">
        <v>33</v>
      </c>
      <c r="M57" s="12" t="s">
        <v>33</v>
      </c>
      <c r="N57" s="13">
        <v>2940000</v>
      </c>
      <c r="O57" s="13" t="s">
        <v>33</v>
      </c>
      <c r="P57" s="13" t="s">
        <v>33</v>
      </c>
      <c r="Q57" s="14" t="s">
        <v>33</v>
      </c>
      <c r="R57" s="13" t="s">
        <v>33</v>
      </c>
      <c r="S57" s="4">
        <v>77</v>
      </c>
    </row>
    <row r="58" spans="1:19" x14ac:dyDescent="0.25">
      <c r="A58" s="4" t="s">
        <v>358</v>
      </c>
      <c r="B58" s="4" t="s">
        <v>322</v>
      </c>
      <c r="C58" s="4" t="s">
        <v>296</v>
      </c>
      <c r="D58" s="4">
        <v>1500</v>
      </c>
      <c r="E58" s="4">
        <v>1.5</v>
      </c>
      <c r="F58" s="4">
        <v>50</v>
      </c>
      <c r="G58" s="4" t="s">
        <v>33</v>
      </c>
      <c r="H58" s="4">
        <v>50</v>
      </c>
      <c r="I58" s="4">
        <v>10</v>
      </c>
      <c r="J58" s="4">
        <v>120</v>
      </c>
      <c r="K58" s="4" t="s">
        <v>33</v>
      </c>
      <c r="L58" s="12" t="s">
        <v>33</v>
      </c>
      <c r="M58" s="12" t="s">
        <v>33</v>
      </c>
      <c r="N58" s="13">
        <v>4300000</v>
      </c>
      <c r="O58" s="13" t="s">
        <v>33</v>
      </c>
      <c r="P58" s="13" t="s">
        <v>33</v>
      </c>
      <c r="Q58" s="14" t="s">
        <v>33</v>
      </c>
      <c r="R58" s="13" t="s">
        <v>33</v>
      </c>
      <c r="S58" s="4">
        <v>81</v>
      </c>
    </row>
    <row r="59" spans="1:19" x14ac:dyDescent="0.25">
      <c r="A59" s="4" t="s">
        <v>372</v>
      </c>
      <c r="B59" s="4" t="s">
        <v>373</v>
      </c>
      <c r="C59" s="4" t="s">
        <v>296</v>
      </c>
      <c r="D59" s="4">
        <v>30</v>
      </c>
      <c r="E59" s="4">
        <v>2.7</v>
      </c>
      <c r="F59" s="4" t="s">
        <v>33</v>
      </c>
      <c r="G59" s="4" t="s">
        <v>33</v>
      </c>
      <c r="H59" s="4" t="s">
        <v>33</v>
      </c>
      <c r="I59" s="4">
        <v>8</v>
      </c>
      <c r="J59" s="4">
        <v>240</v>
      </c>
      <c r="K59" s="4" t="s">
        <v>33</v>
      </c>
      <c r="L59" s="12" t="s">
        <v>33</v>
      </c>
      <c r="M59" s="12" t="s">
        <v>33</v>
      </c>
      <c r="N59" s="13">
        <v>2700000</v>
      </c>
      <c r="O59" s="13" t="s">
        <v>33</v>
      </c>
      <c r="P59" s="13" t="s">
        <v>33</v>
      </c>
      <c r="Q59" s="14" t="s">
        <v>33</v>
      </c>
      <c r="R59" s="13" t="s">
        <v>33</v>
      </c>
      <c r="S59" s="4">
        <v>87</v>
      </c>
    </row>
    <row r="60" spans="1:19" x14ac:dyDescent="0.25">
      <c r="A60" s="4" t="s">
        <v>372</v>
      </c>
      <c r="B60" s="4" t="s">
        <v>377</v>
      </c>
      <c r="C60" s="4" t="s">
        <v>296</v>
      </c>
      <c r="D60" s="4">
        <v>100</v>
      </c>
      <c r="E60" s="4">
        <v>1.5</v>
      </c>
      <c r="F60" s="4" t="s">
        <v>33</v>
      </c>
      <c r="G60" s="4" t="s">
        <v>33</v>
      </c>
      <c r="H60" s="4" t="s">
        <v>33</v>
      </c>
      <c r="I60" s="4">
        <v>8</v>
      </c>
      <c r="J60" s="4">
        <v>120</v>
      </c>
      <c r="K60" s="4" t="s">
        <v>33</v>
      </c>
      <c r="L60" s="12" t="s">
        <v>33</v>
      </c>
      <c r="M60" s="12" t="s">
        <v>33</v>
      </c>
      <c r="N60" s="13">
        <v>10800000</v>
      </c>
      <c r="O60" s="13" t="s">
        <v>33</v>
      </c>
      <c r="P60" s="13" t="s">
        <v>33</v>
      </c>
      <c r="Q60" s="14" t="s">
        <v>33</v>
      </c>
      <c r="R60" s="13" t="s">
        <v>33</v>
      </c>
      <c r="S60" s="4">
        <v>74</v>
      </c>
    </row>
    <row r="61" spans="1:19" x14ac:dyDescent="0.25">
      <c r="A61" s="4" t="s">
        <v>372</v>
      </c>
      <c r="B61" s="4" t="s">
        <v>380</v>
      </c>
      <c r="C61" s="4" t="s">
        <v>296</v>
      </c>
      <c r="D61" s="4">
        <v>100</v>
      </c>
      <c r="E61" s="4">
        <v>3</v>
      </c>
      <c r="F61" s="4" t="s">
        <v>33</v>
      </c>
      <c r="G61" s="4" t="s">
        <v>33</v>
      </c>
      <c r="H61" s="4" t="s">
        <v>33</v>
      </c>
      <c r="I61" s="4">
        <v>15</v>
      </c>
      <c r="J61" s="4" t="s">
        <v>33</v>
      </c>
      <c r="K61" s="4" t="s">
        <v>33</v>
      </c>
      <c r="L61" s="12" t="s">
        <v>33</v>
      </c>
      <c r="M61" s="12" t="s">
        <v>33</v>
      </c>
      <c r="N61" s="13">
        <v>1500000</v>
      </c>
      <c r="O61" s="13" t="s">
        <v>33</v>
      </c>
      <c r="P61" s="13" t="s">
        <v>33</v>
      </c>
      <c r="Q61" s="14" t="s">
        <v>33</v>
      </c>
      <c r="R61" s="13" t="s">
        <v>33</v>
      </c>
      <c r="S61" s="4">
        <v>68</v>
      </c>
    </row>
    <row r="62" spans="1:19" x14ac:dyDescent="0.25">
      <c r="A62" s="4" t="s">
        <v>372</v>
      </c>
      <c r="B62" s="4" t="s">
        <v>383</v>
      </c>
      <c r="C62" s="4" t="s">
        <v>296</v>
      </c>
      <c r="D62" s="4">
        <v>1200</v>
      </c>
      <c r="E62" s="4">
        <v>2.5</v>
      </c>
      <c r="F62" s="4" t="s">
        <v>33</v>
      </c>
      <c r="G62" s="4" t="s">
        <v>33</v>
      </c>
      <c r="H62" s="4" t="s">
        <v>33</v>
      </c>
      <c r="I62" s="4">
        <v>8</v>
      </c>
      <c r="J62" s="4">
        <v>60</v>
      </c>
      <c r="K62" s="4">
        <v>0.76</v>
      </c>
      <c r="L62" s="12" t="s">
        <v>33</v>
      </c>
      <c r="M62" s="12" t="s">
        <v>33</v>
      </c>
      <c r="N62" s="13">
        <v>2400000</v>
      </c>
      <c r="O62" s="13" t="s">
        <v>33</v>
      </c>
      <c r="P62" s="13" t="s">
        <v>33</v>
      </c>
      <c r="Q62" s="14" t="s">
        <v>33</v>
      </c>
      <c r="R62" s="13">
        <v>115000</v>
      </c>
      <c r="S62" s="4">
        <v>94</v>
      </c>
    </row>
    <row r="63" spans="1:19" x14ac:dyDescent="0.25">
      <c r="A63" s="4" t="s">
        <v>399</v>
      </c>
      <c r="B63" s="4" t="s">
        <v>400</v>
      </c>
      <c r="C63" s="4" t="s">
        <v>296</v>
      </c>
      <c r="D63" s="4">
        <v>50</v>
      </c>
      <c r="E63" s="4">
        <v>3</v>
      </c>
      <c r="F63" s="4" t="s">
        <v>33</v>
      </c>
      <c r="G63" s="4" t="s">
        <v>33</v>
      </c>
      <c r="H63" s="4" t="s">
        <v>33</v>
      </c>
      <c r="I63" s="4">
        <v>16</v>
      </c>
      <c r="J63" s="4">
        <v>90</v>
      </c>
      <c r="K63" s="4">
        <v>0.69</v>
      </c>
      <c r="L63" s="12" t="s">
        <v>33</v>
      </c>
      <c r="M63" s="12" t="s">
        <v>33</v>
      </c>
      <c r="N63" s="13">
        <v>950000</v>
      </c>
      <c r="O63" s="13" t="s">
        <v>33</v>
      </c>
      <c r="P63" s="13" t="s">
        <v>33</v>
      </c>
      <c r="Q63" s="14" t="s">
        <v>33</v>
      </c>
      <c r="R63" s="13" t="s">
        <v>33</v>
      </c>
      <c r="S63" s="4">
        <v>94</v>
      </c>
    </row>
    <row r="64" spans="1:19" x14ac:dyDescent="0.25">
      <c r="A64" s="4" t="s">
        <v>399</v>
      </c>
      <c r="B64" s="4" t="s">
        <v>403</v>
      </c>
      <c r="C64" s="4" t="s">
        <v>296</v>
      </c>
      <c r="D64" s="4">
        <v>10</v>
      </c>
      <c r="E64" s="4">
        <v>2.5</v>
      </c>
      <c r="F64" s="4" t="s">
        <v>33</v>
      </c>
      <c r="G64" s="4" t="s">
        <v>33</v>
      </c>
      <c r="H64" s="4" t="s">
        <v>33</v>
      </c>
      <c r="I64" s="4">
        <v>10</v>
      </c>
      <c r="J64" s="4">
        <v>90</v>
      </c>
      <c r="K64" s="4">
        <v>0.7</v>
      </c>
      <c r="L64" s="12" t="s">
        <v>33</v>
      </c>
      <c r="M64" s="12" t="s">
        <v>33</v>
      </c>
      <c r="N64" s="13">
        <v>1400000</v>
      </c>
      <c r="O64" s="13" t="s">
        <v>33</v>
      </c>
      <c r="P64" s="13" t="s">
        <v>33</v>
      </c>
      <c r="Q64" s="14" t="s">
        <v>33</v>
      </c>
      <c r="R64" s="13" t="s">
        <v>33</v>
      </c>
      <c r="S64" s="4">
        <v>90</v>
      </c>
    </row>
    <row r="65" spans="1:19" x14ac:dyDescent="0.25">
      <c r="A65" s="4" t="s">
        <v>407</v>
      </c>
      <c r="B65" s="4" t="s">
        <v>408</v>
      </c>
      <c r="C65" s="4" t="s">
        <v>296</v>
      </c>
      <c r="D65" s="4" t="s">
        <v>33</v>
      </c>
      <c r="E65" s="4">
        <v>0.6</v>
      </c>
      <c r="F65" s="4" t="s">
        <v>33</v>
      </c>
      <c r="G65" s="4" t="s">
        <v>33</v>
      </c>
      <c r="H65" s="4" t="s">
        <v>33</v>
      </c>
      <c r="I65" s="4">
        <v>2</v>
      </c>
      <c r="J65" s="4" t="s">
        <v>33</v>
      </c>
      <c r="K65" s="4" t="s">
        <v>33</v>
      </c>
      <c r="L65" s="12" t="s">
        <v>33</v>
      </c>
      <c r="M65" s="12" t="s">
        <v>33</v>
      </c>
      <c r="N65" s="13">
        <v>2600000</v>
      </c>
      <c r="O65" s="13" t="s">
        <v>33</v>
      </c>
      <c r="P65" s="13" t="s">
        <v>33</v>
      </c>
      <c r="Q65" s="14" t="s">
        <v>33</v>
      </c>
      <c r="R65" s="13" t="s">
        <v>33</v>
      </c>
      <c r="S65" s="4">
        <v>65</v>
      </c>
    </row>
    <row r="66" spans="1:19" x14ac:dyDescent="0.25">
      <c r="A66" s="4" t="s">
        <v>268</v>
      </c>
      <c r="B66" s="4" t="s">
        <v>415</v>
      </c>
      <c r="C66" s="4" t="s">
        <v>296</v>
      </c>
      <c r="D66" s="4" t="s">
        <v>33</v>
      </c>
      <c r="E66" s="4">
        <v>0.97</v>
      </c>
      <c r="F66" s="4" t="s">
        <v>33</v>
      </c>
      <c r="G66" s="4" t="s">
        <v>33</v>
      </c>
      <c r="H66" s="4" t="s">
        <v>33</v>
      </c>
      <c r="I66" s="4">
        <v>3</v>
      </c>
      <c r="J66" s="4">
        <v>120</v>
      </c>
      <c r="K66" s="4">
        <v>1.2</v>
      </c>
      <c r="L66" s="12" t="s">
        <v>33</v>
      </c>
      <c r="M66" s="12" t="s">
        <v>33</v>
      </c>
      <c r="N66" s="13">
        <v>1900000</v>
      </c>
      <c r="O66" s="13" t="s">
        <v>33</v>
      </c>
      <c r="P66" s="13" t="s">
        <v>33</v>
      </c>
      <c r="Q66" s="14" t="s">
        <v>33</v>
      </c>
      <c r="R66" s="13">
        <v>100000</v>
      </c>
      <c r="S66" s="4">
        <v>87</v>
      </c>
    </row>
    <row r="67" spans="1:19" x14ac:dyDescent="0.25">
      <c r="A67" s="4" t="s">
        <v>268</v>
      </c>
      <c r="B67" s="4" t="s">
        <v>418</v>
      </c>
      <c r="C67" s="4" t="s">
        <v>296</v>
      </c>
      <c r="D67" s="4" t="s">
        <v>33</v>
      </c>
      <c r="E67" s="4" t="s">
        <v>33</v>
      </c>
      <c r="F67" s="4">
        <v>950</v>
      </c>
      <c r="G67" s="4" t="s">
        <v>33</v>
      </c>
      <c r="H67" s="4">
        <v>950</v>
      </c>
      <c r="I67" s="4">
        <v>3</v>
      </c>
      <c r="J67" s="4">
        <v>60</v>
      </c>
      <c r="K67" s="4">
        <v>0.7</v>
      </c>
      <c r="L67" s="12" t="s">
        <v>33</v>
      </c>
      <c r="M67" s="12" t="s">
        <v>33</v>
      </c>
      <c r="N67" s="13">
        <v>1500000</v>
      </c>
      <c r="O67" s="13" t="s">
        <v>33</v>
      </c>
      <c r="P67" s="13" t="s">
        <v>33</v>
      </c>
      <c r="Q67" s="14" t="s">
        <v>33</v>
      </c>
      <c r="R67" s="13">
        <v>100000</v>
      </c>
      <c r="S67" s="4">
        <v>81</v>
      </c>
    </row>
    <row r="68" spans="1:19" x14ac:dyDescent="0.25">
      <c r="A68" s="4" t="s">
        <v>268</v>
      </c>
      <c r="B68" s="4" t="s">
        <v>422</v>
      </c>
      <c r="C68" s="4" t="s">
        <v>296</v>
      </c>
      <c r="D68" s="4" t="s">
        <v>33</v>
      </c>
      <c r="E68" s="4" t="s">
        <v>33</v>
      </c>
      <c r="F68" s="4">
        <v>1000</v>
      </c>
      <c r="G68" s="4" t="s">
        <v>33</v>
      </c>
      <c r="H68" s="4">
        <v>1000</v>
      </c>
      <c r="I68" s="4">
        <v>3</v>
      </c>
      <c r="J68" s="4" t="s">
        <v>33</v>
      </c>
      <c r="K68" s="4">
        <v>0.75</v>
      </c>
      <c r="L68" s="12" t="s">
        <v>33</v>
      </c>
      <c r="M68" s="12" t="s">
        <v>33</v>
      </c>
      <c r="N68" s="13">
        <v>2310000</v>
      </c>
      <c r="O68" s="13" t="s">
        <v>33</v>
      </c>
      <c r="P68" s="13" t="s">
        <v>33</v>
      </c>
      <c r="Q68" s="14" t="s">
        <v>33</v>
      </c>
      <c r="R68" s="13">
        <v>120000</v>
      </c>
      <c r="S68" s="4">
        <v>81</v>
      </c>
    </row>
    <row r="69" spans="1:19" x14ac:dyDescent="0.25">
      <c r="A69" s="4" t="s">
        <v>268</v>
      </c>
      <c r="B69" s="4" t="s">
        <v>425</v>
      </c>
      <c r="C69" s="4" t="s">
        <v>296</v>
      </c>
      <c r="D69" s="4" t="s">
        <v>33</v>
      </c>
      <c r="E69" s="4" t="s">
        <v>33</v>
      </c>
      <c r="F69" s="4">
        <v>3000</v>
      </c>
      <c r="G69" s="4" t="s">
        <v>33</v>
      </c>
      <c r="H69" s="4">
        <v>3000</v>
      </c>
      <c r="I69" s="4" t="s">
        <v>33</v>
      </c>
      <c r="J69" s="4" t="s">
        <v>33</v>
      </c>
      <c r="K69" s="4" t="s">
        <v>33</v>
      </c>
      <c r="L69" s="12" t="s">
        <v>33</v>
      </c>
      <c r="M69" s="12" t="s">
        <v>33</v>
      </c>
      <c r="N69" s="13">
        <v>4056000</v>
      </c>
      <c r="O69" s="13" t="s">
        <v>33</v>
      </c>
      <c r="P69" s="13" t="s">
        <v>33</v>
      </c>
      <c r="Q69" s="14" t="s">
        <v>33</v>
      </c>
      <c r="R69" s="13" t="s">
        <v>33</v>
      </c>
      <c r="S69" s="4">
        <v>48</v>
      </c>
    </row>
    <row r="70" spans="1:19" x14ac:dyDescent="0.25">
      <c r="A70" s="4" t="s">
        <v>268</v>
      </c>
      <c r="B70" s="4" t="s">
        <v>429</v>
      </c>
      <c r="C70" s="4" t="s">
        <v>296</v>
      </c>
      <c r="D70" s="4" t="s">
        <v>33</v>
      </c>
      <c r="E70" s="4">
        <v>0.65</v>
      </c>
      <c r="F70" s="4" t="s">
        <v>33</v>
      </c>
      <c r="G70" s="4" t="s">
        <v>33</v>
      </c>
      <c r="H70" s="4" t="s">
        <v>33</v>
      </c>
      <c r="I70" s="4">
        <v>3.5</v>
      </c>
      <c r="J70" s="4">
        <v>180</v>
      </c>
      <c r="K70" s="4" t="s">
        <v>33</v>
      </c>
      <c r="L70" s="12" t="s">
        <v>33</v>
      </c>
      <c r="M70" s="12" t="s">
        <v>33</v>
      </c>
      <c r="N70" s="13">
        <v>2200000</v>
      </c>
      <c r="O70" s="13" t="s">
        <v>33</v>
      </c>
      <c r="P70" s="13" t="s">
        <v>33</v>
      </c>
      <c r="Q70" s="14" t="s">
        <v>33</v>
      </c>
      <c r="R70" s="13" t="s">
        <v>33</v>
      </c>
      <c r="S70" s="4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26" customWidth="1"/>
    <col min="4" max="4" width="12" customWidth="1"/>
    <col min="5" max="24" width="14" customWidth="1"/>
    <col min="25" max="25" width="50" customWidth="1"/>
  </cols>
  <sheetData>
    <row r="1" spans="1:25" x14ac:dyDescent="0.25">
      <c r="A1" s="6" t="s">
        <v>57</v>
      </c>
      <c r="B1" s="6" t="s">
        <v>279</v>
      </c>
      <c r="C1" s="6" t="s">
        <v>280</v>
      </c>
      <c r="D1" s="6" t="s">
        <v>454</v>
      </c>
      <c r="E1" s="6" t="s">
        <v>455</v>
      </c>
      <c r="F1" s="6" t="s">
        <v>456</v>
      </c>
      <c r="G1" s="6" t="s">
        <v>457</v>
      </c>
      <c r="H1" s="6" t="s">
        <v>440</v>
      </c>
      <c r="I1" s="6" t="s">
        <v>441</v>
      </c>
      <c r="J1" s="6" t="s">
        <v>442</v>
      </c>
      <c r="K1" s="6" t="s">
        <v>458</v>
      </c>
      <c r="L1" s="6" t="s">
        <v>459</v>
      </c>
      <c r="M1" s="6" t="s">
        <v>460</v>
      </c>
      <c r="N1" s="6" t="s">
        <v>461</v>
      </c>
      <c r="O1" s="6" t="s">
        <v>446</v>
      </c>
      <c r="P1" s="6" t="s">
        <v>462</v>
      </c>
      <c r="Q1" s="6" t="s">
        <v>463</v>
      </c>
      <c r="R1" s="6" t="s">
        <v>447</v>
      </c>
      <c r="S1" s="6" t="s">
        <v>464</v>
      </c>
      <c r="T1" s="6" t="s">
        <v>465</v>
      </c>
      <c r="U1" s="6" t="s">
        <v>466</v>
      </c>
      <c r="V1" s="6" t="s">
        <v>467</v>
      </c>
      <c r="W1" s="6" t="s">
        <v>468</v>
      </c>
      <c r="X1" s="6" t="s">
        <v>469</v>
      </c>
      <c r="Y1" s="6" t="s">
        <v>470</v>
      </c>
    </row>
    <row r="2" spans="1:25" x14ac:dyDescent="0.25">
      <c r="A2" s="4" t="s">
        <v>23</v>
      </c>
      <c r="B2" s="4" t="s">
        <v>33</v>
      </c>
      <c r="C2" s="4" t="s">
        <v>33</v>
      </c>
      <c r="D2" s="4" t="s">
        <v>104</v>
      </c>
      <c r="E2" s="4" t="s">
        <v>33</v>
      </c>
      <c r="F2" s="4" t="s">
        <v>33</v>
      </c>
      <c r="G2" s="4" t="s">
        <v>33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33</v>
      </c>
      <c r="R2" s="4" t="s">
        <v>33</v>
      </c>
      <c r="S2" s="4" t="s">
        <v>33</v>
      </c>
      <c r="T2" s="4" t="s">
        <v>33</v>
      </c>
      <c r="U2" s="4" t="s">
        <v>33</v>
      </c>
      <c r="V2" s="4" t="s">
        <v>33</v>
      </c>
      <c r="W2" s="4" t="s">
        <v>33</v>
      </c>
      <c r="X2" s="4" t="s">
        <v>33</v>
      </c>
      <c r="Y2" s="4" t="s">
        <v>27</v>
      </c>
    </row>
    <row r="3" spans="1:25" x14ac:dyDescent="0.25">
      <c r="A3" s="4" t="s">
        <v>24</v>
      </c>
      <c r="B3" s="3" t="s">
        <v>288</v>
      </c>
      <c r="C3" s="3" t="s">
        <v>289</v>
      </c>
      <c r="D3" s="4" t="s">
        <v>471</v>
      </c>
      <c r="E3" s="11">
        <v>1900</v>
      </c>
      <c r="F3" s="15">
        <v>86.36363636363636</v>
      </c>
      <c r="G3" s="15">
        <v>129.54545454545453</v>
      </c>
      <c r="H3" s="15">
        <v>90</v>
      </c>
      <c r="I3" s="15">
        <v>19.22573593904989</v>
      </c>
      <c r="J3" s="15">
        <v>19.22573593904989</v>
      </c>
      <c r="K3" s="4" t="s">
        <v>472</v>
      </c>
      <c r="L3" s="11">
        <v>93.81756601778216</v>
      </c>
      <c r="M3" s="11">
        <v>103.6015558308773</v>
      </c>
      <c r="N3" s="15">
        <v>10.2158702926166</v>
      </c>
      <c r="O3" s="12">
        <v>14</v>
      </c>
      <c r="P3" s="4" t="s">
        <v>291</v>
      </c>
      <c r="Q3" s="11">
        <v>100</v>
      </c>
      <c r="R3" s="12">
        <v>1</v>
      </c>
      <c r="S3" s="12">
        <v>1</v>
      </c>
      <c r="T3" s="11">
        <v>25</v>
      </c>
      <c r="U3" s="15">
        <v>11.875</v>
      </c>
      <c r="V3" s="13">
        <v>46872000</v>
      </c>
      <c r="W3" s="13">
        <v>24607800</v>
      </c>
      <c r="X3" s="13">
        <v>7630657.07045109</v>
      </c>
      <c r="Y3" s="4" t="s">
        <v>33</v>
      </c>
    </row>
    <row r="4" spans="1:25" x14ac:dyDescent="0.25">
      <c r="A4" s="4" t="s">
        <v>25</v>
      </c>
      <c r="B4" s="3" t="s">
        <v>288</v>
      </c>
      <c r="C4" s="3" t="s">
        <v>289</v>
      </c>
      <c r="D4" s="4" t="s">
        <v>471</v>
      </c>
      <c r="E4" s="11">
        <v>1900</v>
      </c>
      <c r="F4" s="15">
        <v>86.36363636363636</v>
      </c>
      <c r="G4" s="15">
        <v>129.54545454545453</v>
      </c>
      <c r="H4" s="15">
        <v>90</v>
      </c>
      <c r="I4" s="15">
        <v>19.22573593904989</v>
      </c>
      <c r="J4" s="15">
        <v>19.22573593904989</v>
      </c>
      <c r="K4" s="4" t="s">
        <v>472</v>
      </c>
      <c r="L4" s="11">
        <v>93.81756601778216</v>
      </c>
      <c r="M4" s="11">
        <v>103.6015558308773</v>
      </c>
      <c r="N4" s="15">
        <v>10.2158702926166</v>
      </c>
      <c r="O4" s="12">
        <v>14</v>
      </c>
      <c r="P4" s="4" t="s">
        <v>291</v>
      </c>
      <c r="Q4" s="11">
        <v>100</v>
      </c>
      <c r="R4" s="12">
        <v>1</v>
      </c>
      <c r="S4" s="12">
        <v>1</v>
      </c>
      <c r="T4" s="11">
        <v>25</v>
      </c>
      <c r="U4" s="15">
        <v>11.875</v>
      </c>
      <c r="V4" s="13">
        <v>46872000</v>
      </c>
      <c r="W4" s="13">
        <v>24607800</v>
      </c>
      <c r="X4" s="13">
        <v>7630657.07045109</v>
      </c>
      <c r="Y4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18" customWidth="1"/>
    <col min="4" max="5" width="60" customWidth="1"/>
    <col min="6" max="6" width="30" customWidth="1"/>
    <col min="7" max="7" width="44" customWidth="1"/>
  </cols>
  <sheetData>
    <row r="1" spans="1:7" x14ac:dyDescent="0.25">
      <c r="A1" s="6" t="s">
        <v>57</v>
      </c>
      <c r="B1" s="6" t="s">
        <v>473</v>
      </c>
      <c r="C1" s="6" t="s">
        <v>474</v>
      </c>
      <c r="D1" s="6" t="s">
        <v>475</v>
      </c>
      <c r="E1" s="6" t="s">
        <v>476</v>
      </c>
      <c r="F1" s="6" t="s">
        <v>477</v>
      </c>
      <c r="G1" s="6" t="s">
        <v>470</v>
      </c>
    </row>
    <row r="2" spans="1:3" s="16" customFormat="1" x14ac:dyDescent="0.25">
      <c r="A2" s="2" t="s">
        <v>23</v>
      </c>
      <c r="B2" s="2" t="s">
        <v>478</v>
      </c>
      <c r="C2" s="17">
        <v>0</v>
      </c>
    </row>
    <row r="4" spans="1:7" x14ac:dyDescent="0.25">
      <c r="A4" s="4" t="s">
        <v>24</v>
      </c>
      <c r="B4" s="4" t="s">
        <v>479</v>
      </c>
      <c r="C4" s="13">
        <v>37800000</v>
      </c>
      <c r="D4" s="4" t="s">
        <v>480</v>
      </c>
      <c r="E4" s="4" t="s">
        <v>481</v>
      </c>
      <c r="F4" s="4" t="s">
        <v>482</v>
      </c>
      <c r="G4" s="4" t="s">
        <v>33</v>
      </c>
    </row>
    <row r="5" spans="1:7" x14ac:dyDescent="0.25">
      <c r="A5" s="4" t="s">
        <v>24</v>
      </c>
      <c r="B5" s="4" t="s">
        <v>483</v>
      </c>
      <c r="C5" s="13">
        <v>300000</v>
      </c>
      <c r="D5" s="4" t="s">
        <v>484</v>
      </c>
      <c r="E5" s="4" t="s">
        <v>485</v>
      </c>
      <c r="F5" s="4" t="s">
        <v>486</v>
      </c>
      <c r="G5" s="4" t="s">
        <v>33</v>
      </c>
    </row>
    <row r="6" spans="1:7" x14ac:dyDescent="0.25">
      <c r="A6" s="4" t="s">
        <v>24</v>
      </c>
      <c r="B6" s="3" t="s">
        <v>487</v>
      </c>
      <c r="C6" s="13">
        <v>1500000</v>
      </c>
      <c r="D6" s="3" t="s">
        <v>488</v>
      </c>
      <c r="E6" s="4" t="s">
        <v>489</v>
      </c>
      <c r="F6" s="4" t="s">
        <v>256</v>
      </c>
      <c r="G6" s="4" t="s">
        <v>33</v>
      </c>
    </row>
    <row r="7" spans="1:7" x14ac:dyDescent="0.25">
      <c r="A7" s="4" t="s">
        <v>24</v>
      </c>
      <c r="B7" s="4" t="s">
        <v>490</v>
      </c>
      <c r="C7" s="13">
        <v>1000000</v>
      </c>
      <c r="D7" s="3" t="s">
        <v>491</v>
      </c>
      <c r="E7" s="3" t="s">
        <v>492</v>
      </c>
      <c r="F7" s="4" t="s">
        <v>486</v>
      </c>
      <c r="G7" s="4" t="s">
        <v>33</v>
      </c>
    </row>
    <row r="8" spans="1:7" x14ac:dyDescent="0.25">
      <c r="A8" s="4" t="s">
        <v>24</v>
      </c>
      <c r="B8" s="4" t="s">
        <v>493</v>
      </c>
      <c r="C8" s="13">
        <v>1250000</v>
      </c>
      <c r="D8" s="3" t="s">
        <v>494</v>
      </c>
      <c r="E8" s="3" t="s">
        <v>495</v>
      </c>
      <c r="F8" s="4" t="s">
        <v>486</v>
      </c>
      <c r="G8" s="4" t="s">
        <v>33</v>
      </c>
    </row>
    <row r="9" spans="1:7" x14ac:dyDescent="0.25">
      <c r="A9" s="4" t="s">
        <v>24</v>
      </c>
      <c r="B9" s="4" t="s">
        <v>496</v>
      </c>
      <c r="C9" s="13">
        <v>1400000</v>
      </c>
      <c r="D9" s="4" t="s">
        <v>497</v>
      </c>
      <c r="E9" s="4" t="s">
        <v>498</v>
      </c>
      <c r="F9" s="3" t="s">
        <v>499</v>
      </c>
      <c r="G9" s="4" t="s">
        <v>33</v>
      </c>
    </row>
    <row r="10" spans="1:7" x14ac:dyDescent="0.25">
      <c r="A10" s="4" t="s">
        <v>24</v>
      </c>
      <c r="B10" s="4" t="s">
        <v>500</v>
      </c>
      <c r="C10" s="13">
        <v>150000</v>
      </c>
      <c r="D10" s="3" t="s">
        <v>501</v>
      </c>
      <c r="E10" s="4" t="s">
        <v>502</v>
      </c>
      <c r="F10" s="4" t="s">
        <v>256</v>
      </c>
      <c r="G10" s="4" t="s">
        <v>33</v>
      </c>
    </row>
    <row r="11" spans="1:7" x14ac:dyDescent="0.25">
      <c r="A11" s="4" t="s">
        <v>24</v>
      </c>
      <c r="B11" s="4" t="s">
        <v>503</v>
      </c>
      <c r="C11" s="13">
        <v>4340000</v>
      </c>
      <c r="D11" s="3" t="s">
        <v>504</v>
      </c>
      <c r="E11" s="4" t="s">
        <v>505</v>
      </c>
      <c r="F11" s="4" t="s">
        <v>482</v>
      </c>
      <c r="G11" s="4" t="s">
        <v>33</v>
      </c>
    </row>
    <row r="12" spans="1:3" s="16" customFormat="1" x14ac:dyDescent="0.25">
      <c r="A12" s="2" t="s">
        <v>24</v>
      </c>
      <c r="B12" s="2" t="s">
        <v>478</v>
      </c>
      <c r="C12" s="17">
        <f>SUM(C4:C11)</f>
        <v>47740000</v>
      </c>
    </row>
    <row r="14" spans="1:7" x14ac:dyDescent="0.25">
      <c r="A14" s="4" t="s">
        <v>25</v>
      </c>
      <c r="B14" s="4" t="s">
        <v>479</v>
      </c>
      <c r="C14" s="13">
        <v>0</v>
      </c>
      <c r="D14" s="4" t="s">
        <v>480</v>
      </c>
      <c r="E14" s="4" t="s">
        <v>506</v>
      </c>
      <c r="F14" s="3" t="s">
        <v>507</v>
      </c>
      <c r="G14" s="3" t="s">
        <v>508</v>
      </c>
    </row>
    <row r="15" spans="1:7" x14ac:dyDescent="0.25">
      <c r="A15" s="4" t="s">
        <v>25</v>
      </c>
      <c r="B15" s="4" t="s">
        <v>483</v>
      </c>
      <c r="C15" s="13">
        <v>0</v>
      </c>
      <c r="D15" s="4" t="s">
        <v>484</v>
      </c>
      <c r="E15" s="4" t="s">
        <v>506</v>
      </c>
      <c r="F15" s="3" t="s">
        <v>507</v>
      </c>
      <c r="G15" s="3" t="s">
        <v>508</v>
      </c>
    </row>
    <row r="16" spans="1:7" x14ac:dyDescent="0.25">
      <c r="A16" s="4" t="s">
        <v>25</v>
      </c>
      <c r="B16" s="3" t="s">
        <v>487</v>
      </c>
      <c r="C16" s="13">
        <v>0</v>
      </c>
      <c r="D16" s="3" t="s">
        <v>488</v>
      </c>
      <c r="E16" s="4" t="s">
        <v>506</v>
      </c>
      <c r="F16" s="3" t="s">
        <v>507</v>
      </c>
      <c r="G16" s="3" t="s">
        <v>508</v>
      </c>
    </row>
    <row r="17" spans="1:7" x14ac:dyDescent="0.25">
      <c r="A17" s="4" t="s">
        <v>25</v>
      </c>
      <c r="B17" s="4" t="s">
        <v>490</v>
      </c>
      <c r="C17" s="13">
        <v>0</v>
      </c>
      <c r="D17" s="3" t="s">
        <v>491</v>
      </c>
      <c r="E17" s="4" t="s">
        <v>506</v>
      </c>
      <c r="F17" s="3" t="s">
        <v>507</v>
      </c>
      <c r="G17" s="3" t="s">
        <v>508</v>
      </c>
    </row>
    <row r="18" spans="1:7" x14ac:dyDescent="0.25">
      <c r="A18" s="4" t="s">
        <v>25</v>
      </c>
      <c r="B18" s="4" t="s">
        <v>493</v>
      </c>
      <c r="C18" s="13">
        <v>1250000</v>
      </c>
      <c r="D18" s="3" t="s">
        <v>494</v>
      </c>
      <c r="E18" s="3" t="s">
        <v>495</v>
      </c>
      <c r="F18" s="4" t="s">
        <v>486</v>
      </c>
      <c r="G18" s="4" t="s">
        <v>33</v>
      </c>
    </row>
    <row r="19" spans="1:7" x14ac:dyDescent="0.25">
      <c r="A19" s="4" t="s">
        <v>25</v>
      </c>
      <c r="B19" s="4" t="s">
        <v>496</v>
      </c>
      <c r="C19" s="13">
        <v>0</v>
      </c>
      <c r="D19" s="4" t="s">
        <v>497</v>
      </c>
      <c r="E19" s="4" t="s">
        <v>506</v>
      </c>
      <c r="F19" s="3" t="s">
        <v>507</v>
      </c>
      <c r="G19" s="3" t="s">
        <v>508</v>
      </c>
    </row>
    <row r="20" spans="1:7" x14ac:dyDescent="0.25">
      <c r="A20" s="4" t="s">
        <v>25</v>
      </c>
      <c r="B20" s="4" t="s">
        <v>500</v>
      </c>
      <c r="C20" s="13">
        <v>150000</v>
      </c>
      <c r="D20" s="3" t="s">
        <v>501</v>
      </c>
      <c r="E20" s="4" t="s">
        <v>502</v>
      </c>
      <c r="F20" s="4" t="s">
        <v>256</v>
      </c>
      <c r="G20" s="4" t="s">
        <v>33</v>
      </c>
    </row>
    <row r="21" spans="1:7" x14ac:dyDescent="0.25">
      <c r="A21" s="4" t="s">
        <v>25</v>
      </c>
      <c r="B21" s="4" t="s">
        <v>503</v>
      </c>
      <c r="C21" s="13">
        <v>140000</v>
      </c>
      <c r="D21" s="3" t="s">
        <v>504</v>
      </c>
      <c r="E21" s="4" t="s">
        <v>509</v>
      </c>
      <c r="F21" s="4" t="s">
        <v>482</v>
      </c>
      <c r="G21" s="4" t="s">
        <v>33</v>
      </c>
    </row>
    <row r="22" spans="1:3" s="16" customFormat="1" x14ac:dyDescent="0.25">
      <c r="A22" s="2" t="s">
        <v>25</v>
      </c>
      <c r="B22" s="2" t="s">
        <v>478</v>
      </c>
      <c r="C22" s="17">
        <f>SUM(C14:C21)</f>
        <v>1540000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18" customWidth="1"/>
    <col min="4" max="5" width="60" customWidth="1"/>
    <col min="6" max="6" width="30" customWidth="1"/>
    <col min="7" max="7" width="44" customWidth="1"/>
  </cols>
  <sheetData>
    <row r="1" spans="1:7" x14ac:dyDescent="0.25">
      <c r="A1" s="6" t="s">
        <v>57</v>
      </c>
      <c r="B1" s="6" t="s">
        <v>473</v>
      </c>
      <c r="C1" s="6" t="s">
        <v>474</v>
      </c>
      <c r="D1" s="6" t="s">
        <v>475</v>
      </c>
      <c r="E1" s="6" t="s">
        <v>476</v>
      </c>
      <c r="F1" s="6" t="s">
        <v>477</v>
      </c>
      <c r="G1" s="6" t="s">
        <v>470</v>
      </c>
    </row>
    <row r="2" spans="1:7" x14ac:dyDescent="0.25">
      <c r="A2" s="4" t="s">
        <v>23</v>
      </c>
      <c r="B2" s="4" t="s">
        <v>510</v>
      </c>
      <c r="C2" s="13">
        <v>46872000</v>
      </c>
      <c r="D2" s="3" t="s">
        <v>511</v>
      </c>
      <c r="E2" s="4" t="s">
        <v>512</v>
      </c>
      <c r="F2" s="4" t="s">
        <v>264</v>
      </c>
      <c r="G2" s="4" t="s">
        <v>33</v>
      </c>
    </row>
    <row r="3" spans="1:3" s="16" customFormat="1" x14ac:dyDescent="0.25">
      <c r="A3" s="2" t="s">
        <v>23</v>
      </c>
      <c r="B3" s="2" t="s">
        <v>513</v>
      </c>
      <c r="C3" s="17">
        <f>SUM(C2:C2)</f>
        <v>46872000</v>
      </c>
    </row>
    <row r="5" spans="1:7" x14ac:dyDescent="0.25">
      <c r="A5" s="4" t="s">
        <v>24</v>
      </c>
      <c r="B5" s="4" t="s">
        <v>514</v>
      </c>
      <c r="C5" s="13">
        <v>4200000</v>
      </c>
      <c r="D5" s="3" t="s">
        <v>515</v>
      </c>
      <c r="E5" s="4" t="s">
        <v>516</v>
      </c>
      <c r="F5" s="4" t="s">
        <v>486</v>
      </c>
      <c r="G5" s="4" t="s">
        <v>33</v>
      </c>
    </row>
    <row r="6" spans="1:7" x14ac:dyDescent="0.25">
      <c r="A6" s="4" t="s">
        <v>24</v>
      </c>
      <c r="B6" s="4" t="s">
        <v>517</v>
      </c>
      <c r="C6" s="13">
        <v>0</v>
      </c>
      <c r="D6" s="3" t="s">
        <v>518</v>
      </c>
      <c r="E6" s="3" t="s">
        <v>519</v>
      </c>
      <c r="F6" s="3" t="s">
        <v>520</v>
      </c>
      <c r="G6" s="4" t="s">
        <v>33</v>
      </c>
    </row>
    <row r="7" spans="1:7" x14ac:dyDescent="0.25">
      <c r="A7" s="4" t="s">
        <v>24</v>
      </c>
      <c r="B7" s="4" t="s">
        <v>521</v>
      </c>
      <c r="C7" s="13">
        <v>313651.80000000005</v>
      </c>
      <c r="D7" s="3" t="s">
        <v>522</v>
      </c>
      <c r="E7" s="3" t="s">
        <v>523</v>
      </c>
      <c r="F7" s="4" t="s">
        <v>256</v>
      </c>
      <c r="G7" s="4" t="s">
        <v>33</v>
      </c>
    </row>
    <row r="8" spans="1:7" x14ac:dyDescent="0.25">
      <c r="A8" s="4" t="s">
        <v>24</v>
      </c>
      <c r="B8" s="4" t="s">
        <v>524</v>
      </c>
      <c r="C8" s="13">
        <v>168000</v>
      </c>
      <c r="D8" s="4" t="s">
        <v>525</v>
      </c>
      <c r="E8" s="4" t="s">
        <v>526</v>
      </c>
      <c r="F8" s="4" t="s">
        <v>256</v>
      </c>
      <c r="G8" s="4" t="s">
        <v>33</v>
      </c>
    </row>
    <row r="9" spans="1:7" x14ac:dyDescent="0.25">
      <c r="A9" s="4" t="s">
        <v>24</v>
      </c>
      <c r="B9" s="4" t="s">
        <v>527</v>
      </c>
      <c r="C9" s="13">
        <v>378000.00000000006</v>
      </c>
      <c r="D9" s="3" t="s">
        <v>528</v>
      </c>
      <c r="E9" s="4" t="s">
        <v>529</v>
      </c>
      <c r="F9" s="4" t="s">
        <v>256</v>
      </c>
      <c r="G9" s="4" t="s">
        <v>33</v>
      </c>
    </row>
    <row r="10" spans="1:7" x14ac:dyDescent="0.25">
      <c r="A10" s="4" t="s">
        <v>24</v>
      </c>
      <c r="B10" s="4" t="s">
        <v>530</v>
      </c>
      <c r="C10" s="13">
        <v>756000</v>
      </c>
      <c r="D10" s="3" t="s">
        <v>531</v>
      </c>
      <c r="E10" s="4" t="s">
        <v>532</v>
      </c>
      <c r="F10" s="4" t="s">
        <v>256</v>
      </c>
      <c r="G10" s="4" t="s">
        <v>33</v>
      </c>
    </row>
    <row r="11" spans="1:7" x14ac:dyDescent="0.25">
      <c r="A11" s="4" t="s">
        <v>24</v>
      </c>
      <c r="B11" s="4" t="s">
        <v>533</v>
      </c>
      <c r="C11" s="13">
        <v>945000</v>
      </c>
      <c r="D11" s="3" t="s">
        <v>534</v>
      </c>
      <c r="E11" s="4" t="s">
        <v>535</v>
      </c>
      <c r="F11" s="4" t="s">
        <v>256</v>
      </c>
      <c r="G11" s="4" t="s">
        <v>33</v>
      </c>
    </row>
    <row r="12" spans="1:7" x14ac:dyDescent="0.25">
      <c r="A12" s="4" t="s">
        <v>24</v>
      </c>
      <c r="B12" s="4" t="s">
        <v>536</v>
      </c>
      <c r="C12" s="13">
        <v>7630657.07045109</v>
      </c>
      <c r="D12" s="3" t="s">
        <v>537</v>
      </c>
      <c r="E12" s="3" t="s">
        <v>538</v>
      </c>
      <c r="F12" s="4" t="s">
        <v>256</v>
      </c>
      <c r="G12" s="4" t="s">
        <v>33</v>
      </c>
    </row>
    <row r="13" spans="1:7" x14ac:dyDescent="0.25">
      <c r="A13" s="4" t="s">
        <v>24</v>
      </c>
      <c r="B13" s="4" t="s">
        <v>539</v>
      </c>
      <c r="C13" s="13">
        <v>24607800</v>
      </c>
      <c r="D13" s="4" t="s">
        <v>540</v>
      </c>
      <c r="E13" s="3" t="s">
        <v>541</v>
      </c>
      <c r="F13" s="3" t="s">
        <v>542</v>
      </c>
      <c r="G13" s="4" t="s">
        <v>33</v>
      </c>
    </row>
    <row r="14" spans="1:3" s="16" customFormat="1" x14ac:dyDescent="0.25">
      <c r="A14" s="2" t="s">
        <v>24</v>
      </c>
      <c r="B14" s="2" t="s">
        <v>513</v>
      </c>
      <c r="C14" s="17">
        <f>SUM(C5:C13)</f>
        <v>38999108.87045109</v>
      </c>
    </row>
    <row r="16" spans="1:7" x14ac:dyDescent="0.25">
      <c r="A16" s="4" t="s">
        <v>25</v>
      </c>
      <c r="B16" s="4" t="s">
        <v>543</v>
      </c>
      <c r="C16" s="13">
        <v>16800000</v>
      </c>
      <c r="D16" s="4" t="s">
        <v>544</v>
      </c>
      <c r="E16" s="4" t="s">
        <v>545</v>
      </c>
      <c r="F16" s="3" t="s">
        <v>546</v>
      </c>
      <c r="G16" s="4" t="s">
        <v>33</v>
      </c>
    </row>
    <row r="17" spans="1:7" x14ac:dyDescent="0.25">
      <c r="A17" s="4" t="s">
        <v>25</v>
      </c>
      <c r="B17" s="4" t="s">
        <v>514</v>
      </c>
      <c r="C17" s="13">
        <v>0</v>
      </c>
      <c r="D17" s="3" t="s">
        <v>515</v>
      </c>
      <c r="E17" s="4" t="s">
        <v>506</v>
      </c>
      <c r="F17" s="3" t="s">
        <v>507</v>
      </c>
      <c r="G17" s="3" t="s">
        <v>508</v>
      </c>
    </row>
    <row r="18" spans="1:7" x14ac:dyDescent="0.25">
      <c r="A18" s="4" t="s">
        <v>25</v>
      </c>
      <c r="B18" s="4" t="s">
        <v>517</v>
      </c>
      <c r="C18" s="13">
        <v>0</v>
      </c>
      <c r="D18" s="3" t="s">
        <v>518</v>
      </c>
      <c r="E18" s="4" t="s">
        <v>506</v>
      </c>
      <c r="F18" s="3" t="s">
        <v>507</v>
      </c>
      <c r="G18" s="3" t="s">
        <v>508</v>
      </c>
    </row>
    <row r="19" spans="1:7" x14ac:dyDescent="0.25">
      <c r="A19" s="4" t="s">
        <v>25</v>
      </c>
      <c r="B19" s="4" t="s">
        <v>521</v>
      </c>
      <c r="C19" s="13">
        <v>313651.80000000005</v>
      </c>
      <c r="D19" s="3" t="s">
        <v>522</v>
      </c>
      <c r="E19" s="3" t="s">
        <v>523</v>
      </c>
      <c r="F19" s="4" t="s">
        <v>256</v>
      </c>
      <c r="G19" s="4" t="s">
        <v>33</v>
      </c>
    </row>
    <row r="20" spans="1:7" x14ac:dyDescent="0.25">
      <c r="A20" s="4" t="s">
        <v>25</v>
      </c>
      <c r="B20" s="4" t="s">
        <v>524</v>
      </c>
      <c r="C20" s="13">
        <v>168000</v>
      </c>
      <c r="D20" s="4" t="s">
        <v>525</v>
      </c>
      <c r="E20" s="4" t="s">
        <v>526</v>
      </c>
      <c r="F20" s="4" t="s">
        <v>256</v>
      </c>
      <c r="G20" s="4" t="s">
        <v>33</v>
      </c>
    </row>
    <row r="21" spans="1:7" x14ac:dyDescent="0.25">
      <c r="A21" s="4" t="s">
        <v>25</v>
      </c>
      <c r="B21" s="4" t="s">
        <v>527</v>
      </c>
      <c r="C21" s="13">
        <v>0</v>
      </c>
      <c r="D21" s="3" t="s">
        <v>528</v>
      </c>
      <c r="E21" s="4" t="s">
        <v>506</v>
      </c>
      <c r="F21" s="3" t="s">
        <v>507</v>
      </c>
      <c r="G21" s="3" t="s">
        <v>508</v>
      </c>
    </row>
    <row r="22" spans="1:7" x14ac:dyDescent="0.25">
      <c r="A22" s="4" t="s">
        <v>25</v>
      </c>
      <c r="B22" s="4" t="s">
        <v>530</v>
      </c>
      <c r="C22" s="13">
        <v>0</v>
      </c>
      <c r="D22" s="3" t="s">
        <v>531</v>
      </c>
      <c r="E22" s="4" t="s">
        <v>506</v>
      </c>
      <c r="F22" s="3" t="s">
        <v>507</v>
      </c>
      <c r="G22" s="3" t="s">
        <v>508</v>
      </c>
    </row>
    <row r="23" spans="1:7" x14ac:dyDescent="0.25">
      <c r="A23" s="4" t="s">
        <v>25</v>
      </c>
      <c r="B23" s="4" t="s">
        <v>533</v>
      </c>
      <c r="C23" s="13">
        <v>0</v>
      </c>
      <c r="D23" s="3" t="s">
        <v>534</v>
      </c>
      <c r="E23" s="4" t="s">
        <v>506</v>
      </c>
      <c r="F23" s="3" t="s">
        <v>507</v>
      </c>
      <c r="G23" s="3" t="s">
        <v>508</v>
      </c>
    </row>
    <row r="24" spans="1:7" x14ac:dyDescent="0.25">
      <c r="A24" s="4" t="s">
        <v>25</v>
      </c>
      <c r="B24" s="4" t="s">
        <v>536</v>
      </c>
      <c r="C24" s="13">
        <v>7630657.07045109</v>
      </c>
      <c r="D24" s="3" t="s">
        <v>537</v>
      </c>
      <c r="E24" s="3" t="s">
        <v>538</v>
      </c>
      <c r="F24" s="4" t="s">
        <v>256</v>
      </c>
      <c r="G24" s="4" t="s">
        <v>33</v>
      </c>
    </row>
    <row r="25" spans="1:7" x14ac:dyDescent="0.25">
      <c r="A25" s="4" t="s">
        <v>25</v>
      </c>
      <c r="B25" s="4" t="s">
        <v>539</v>
      </c>
      <c r="C25" s="13">
        <v>24607800</v>
      </c>
      <c r="D25" s="4" t="s">
        <v>540</v>
      </c>
      <c r="E25" s="3" t="s">
        <v>541</v>
      </c>
      <c r="F25" s="3" t="s">
        <v>542</v>
      </c>
      <c r="G25" s="4" t="s">
        <v>33</v>
      </c>
    </row>
    <row r="26" spans="1:3" s="16" customFormat="1" x14ac:dyDescent="0.25">
      <c r="A26" s="2" t="s">
        <v>25</v>
      </c>
      <c r="B26" s="2" t="s">
        <v>513</v>
      </c>
      <c r="C26" s="17">
        <f>SUM(C16:C25)</f>
        <v>49520108.87045109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46" customWidth="1"/>
    <col min="2" max="3" width="20" customWidth="1"/>
    <col min="4" max="5" width="16" customWidth="1"/>
    <col min="6" max="7" width="20" customWidth="1"/>
    <col min="8" max="8" width="22" customWidth="1"/>
    <col min="9" max="9" width="24" customWidth="1"/>
  </cols>
  <sheetData>
    <row r="1" spans="1:1" x14ac:dyDescent="0.25">
      <c r="A1" s="5" t="s">
        <v>547</v>
      </c>
    </row>
    <row r="2" spans="1:1" x14ac:dyDescent="0.25">
      <c r="A2" s="4" t="s">
        <v>548</v>
      </c>
    </row>
    <row r="4" spans="1:1" x14ac:dyDescent="0.25">
      <c r="A4" s="5" t="s">
        <v>549</v>
      </c>
    </row>
    <row r="5" spans="1:2" x14ac:dyDescent="0.25">
      <c r="A5" s="2" t="s">
        <v>550</v>
      </c>
      <c r="B5" s="18">
        <v>0.12</v>
      </c>
    </row>
    <row r="6" spans="1:2" x14ac:dyDescent="0.25">
      <c r="A6" s="2" t="s">
        <v>551</v>
      </c>
      <c r="B6" s="4">
        <v>5</v>
      </c>
    </row>
    <row r="7" spans="1:2" x14ac:dyDescent="0.25">
      <c r="A7" s="2" t="s">
        <v>552</v>
      </c>
      <c r="B7" s="4">
        <v>5</v>
      </c>
    </row>
    <row r="8" spans="1:2" x14ac:dyDescent="0.25">
      <c r="A8" s="19" t="s">
        <v>553</v>
      </c>
      <c r="B8" s="13">
        <v>46872000</v>
      </c>
    </row>
    <row r="9" spans="1:2" x14ac:dyDescent="0.25">
      <c r="A9" s="2" t="s">
        <v>554</v>
      </c>
      <c r="B9" s="13">
        <v>46872000</v>
      </c>
    </row>
    <row r="10" spans="1:9" x14ac:dyDescent="0.25">
      <c r="A10" s="6" t="s">
        <v>555</v>
      </c>
      <c r="B10" s="6" t="s">
        <v>556</v>
      </c>
      <c r="C10" s="6" t="s">
        <v>557</v>
      </c>
      <c r="D10" s="6" t="s">
        <v>558</v>
      </c>
      <c r="E10" s="6" t="s">
        <v>559</v>
      </c>
      <c r="F10" s="6" t="s">
        <v>560</v>
      </c>
      <c r="G10" s="6" t="s">
        <v>561</v>
      </c>
      <c r="H10" s="6" t="s">
        <v>562</v>
      </c>
      <c r="I10" s="6" t="s">
        <v>563</v>
      </c>
    </row>
    <row r="11" spans="1:9" x14ac:dyDescent="0.25">
      <c r="A11" s="4">
        <v>0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f>-B11</f>
        <v>0</v>
      </c>
      <c r="H11" s="13">
        <f>G11</f>
        <v>0</v>
      </c>
      <c r="I11" s="13">
        <f>G11/(1+$B$5)^A11</f>
        <v>0</v>
      </c>
    </row>
    <row r="12" spans="1:9" x14ac:dyDescent="0.25">
      <c r="A12" s="4">
        <v>1</v>
      </c>
      <c r="B12" s="13">
        <v>0</v>
      </c>
      <c r="C12" s="13">
        <v>46872000</v>
      </c>
      <c r="D12" s="13">
        <v>0</v>
      </c>
      <c r="E12" s="13">
        <v>0</v>
      </c>
      <c r="F12" s="13">
        <f>$B$8-C12</f>
        <v>0</v>
      </c>
      <c r="G12" s="13">
        <f>F12-E12</f>
        <v>0</v>
      </c>
      <c r="H12" s="13">
        <f>H11+G12</f>
        <v>0</v>
      </c>
      <c r="I12" s="13">
        <f>G12/(1+$B$5)^A12</f>
        <v>0</v>
      </c>
    </row>
    <row r="13" spans="1:9" x14ac:dyDescent="0.25">
      <c r="A13" s="4">
        <v>2</v>
      </c>
      <c r="B13" s="13">
        <v>0</v>
      </c>
      <c r="C13" s="13">
        <v>46872000</v>
      </c>
      <c r="D13" s="13">
        <v>0</v>
      </c>
      <c r="E13" s="13">
        <v>0</v>
      </c>
      <c r="F13" s="13">
        <f>$B$8-C13</f>
        <v>0</v>
      </c>
      <c r="G13" s="13">
        <f>F13-E13</f>
        <v>0</v>
      </c>
      <c r="H13" s="13">
        <f>H12+G13</f>
        <v>0</v>
      </c>
      <c r="I13" s="13">
        <f>G13/(1+$B$5)^A13</f>
        <v>0</v>
      </c>
    </row>
    <row r="14" spans="1:9" x14ac:dyDescent="0.25">
      <c r="A14" s="4">
        <v>3</v>
      </c>
      <c r="B14" s="13">
        <v>0</v>
      </c>
      <c r="C14" s="13">
        <v>46872000</v>
      </c>
      <c r="D14" s="13">
        <v>0</v>
      </c>
      <c r="E14" s="13">
        <v>0</v>
      </c>
      <c r="F14" s="13">
        <f>$B$8-C14</f>
        <v>0</v>
      </c>
      <c r="G14" s="13">
        <f>F14-E14</f>
        <v>0</v>
      </c>
      <c r="H14" s="13">
        <f>H13+G14</f>
        <v>0</v>
      </c>
      <c r="I14" s="13">
        <f>G14/(1+$B$5)^A14</f>
        <v>0</v>
      </c>
    </row>
    <row r="15" spans="1:9" x14ac:dyDescent="0.25">
      <c r="A15" s="4">
        <v>4</v>
      </c>
      <c r="B15" s="13">
        <v>0</v>
      </c>
      <c r="C15" s="13">
        <v>46872000</v>
      </c>
      <c r="D15" s="13">
        <v>0</v>
      </c>
      <c r="E15" s="13">
        <v>0</v>
      </c>
      <c r="F15" s="13">
        <f>$B$8-C15</f>
        <v>0</v>
      </c>
      <c r="G15" s="13">
        <f>F15-E15</f>
        <v>0</v>
      </c>
      <c r="H15" s="13">
        <f>H14+G15</f>
        <v>0</v>
      </c>
      <c r="I15" s="13">
        <f>G15/(1+$B$5)^A15</f>
        <v>0</v>
      </c>
    </row>
    <row r="16" spans="1:9" x14ac:dyDescent="0.25">
      <c r="A16" s="4">
        <v>5</v>
      </c>
      <c r="B16" s="13">
        <v>0</v>
      </c>
      <c r="C16" s="13">
        <v>46872000</v>
      </c>
      <c r="D16" s="13">
        <v>0</v>
      </c>
      <c r="E16" s="13">
        <v>0</v>
      </c>
      <c r="F16" s="13">
        <f>$B$8-C16</f>
        <v>0</v>
      </c>
      <c r="G16" s="13">
        <f>F16-E16</f>
        <v>0</v>
      </c>
      <c r="H16" s="13">
        <f>H15+G16</f>
        <v>0</v>
      </c>
      <c r="I16" s="13">
        <f>G16/(1+$B$5)^A16</f>
        <v>0</v>
      </c>
    </row>
    <row r="18" spans="1:2" x14ac:dyDescent="0.25">
      <c r="A18" s="2" t="s">
        <v>556</v>
      </c>
      <c r="B18" s="13">
        <f>B11</f>
        <v>0</v>
      </c>
    </row>
    <row r="19" spans="1:2" x14ac:dyDescent="0.25">
      <c r="A19" s="2" t="s">
        <v>564</v>
      </c>
      <c r="B19" s="13">
        <f>B8-B9</f>
        <v>0</v>
      </c>
    </row>
    <row r="20" spans="1:2" x14ac:dyDescent="0.25">
      <c r="A20" s="2" t="s">
        <v>565</v>
      </c>
      <c r="B20" s="3" t="s">
        <v>566</v>
      </c>
    </row>
    <row r="21" spans="1:2" x14ac:dyDescent="0.25">
      <c r="A21" s="2" t="s">
        <v>567</v>
      </c>
      <c r="B21" s="13">
        <f>B11+SUM(C12:C16)+SUM(E12:E16)</f>
        <v>234360000</v>
      </c>
    </row>
    <row r="22" spans="1:2" x14ac:dyDescent="0.25">
      <c r="A22" s="2" t="s">
        <v>568</v>
      </c>
      <c r="B22" s="13">
        <f>B7*B8</f>
        <v>234360000</v>
      </c>
    </row>
    <row r="24" spans="1:1" x14ac:dyDescent="0.25">
      <c r="A24" s="5" t="s">
        <v>569</v>
      </c>
    </row>
    <row r="25" spans="1:2" x14ac:dyDescent="0.25">
      <c r="A25" s="2" t="s">
        <v>550</v>
      </c>
      <c r="B25" s="18">
        <v>0.12</v>
      </c>
    </row>
    <row r="26" spans="1:2" x14ac:dyDescent="0.25">
      <c r="A26" s="2" t="s">
        <v>551</v>
      </c>
      <c r="B26" s="4">
        <v>5</v>
      </c>
    </row>
    <row r="27" spans="1:2" x14ac:dyDescent="0.25">
      <c r="A27" s="2" t="s">
        <v>552</v>
      </c>
      <c r="B27" s="4">
        <v>5</v>
      </c>
    </row>
    <row r="28" spans="1:2" x14ac:dyDescent="0.25">
      <c r="A28" s="19" t="s">
        <v>553</v>
      </c>
      <c r="B28" s="13">
        <v>46872000</v>
      </c>
    </row>
    <row r="29" spans="1:2" x14ac:dyDescent="0.25">
      <c r="A29" s="2" t="s">
        <v>554</v>
      </c>
      <c r="B29" s="13">
        <v>38999108.87045109</v>
      </c>
    </row>
    <row r="30" spans="1:9" x14ac:dyDescent="0.25">
      <c r="A30" s="6" t="s">
        <v>555</v>
      </c>
      <c r="B30" s="6" t="s">
        <v>556</v>
      </c>
      <c r="C30" s="6" t="s">
        <v>557</v>
      </c>
      <c r="D30" s="6" t="s">
        <v>558</v>
      </c>
      <c r="E30" s="6" t="s">
        <v>559</v>
      </c>
      <c r="F30" s="6" t="s">
        <v>560</v>
      </c>
      <c r="G30" s="6" t="s">
        <v>561</v>
      </c>
      <c r="H30" s="6" t="s">
        <v>562</v>
      </c>
      <c r="I30" s="6" t="s">
        <v>563</v>
      </c>
    </row>
    <row r="31" spans="1:9" x14ac:dyDescent="0.25">
      <c r="A31" s="4">
        <v>0</v>
      </c>
      <c r="B31" s="13">
        <v>47740000</v>
      </c>
      <c r="C31" s="13">
        <v>0</v>
      </c>
      <c r="D31" s="13">
        <v>0</v>
      </c>
      <c r="E31" s="13">
        <v>0</v>
      </c>
      <c r="F31" s="13">
        <v>0</v>
      </c>
      <c r="G31" s="13">
        <f>-B31</f>
        <v>-47740000</v>
      </c>
      <c r="H31" s="13">
        <f>G31</f>
        <v>-47740000</v>
      </c>
      <c r="I31" s="13">
        <f>G31/(1+$B$25)^A31</f>
        <v>-47740000</v>
      </c>
    </row>
    <row r="32" spans="1:9" x14ac:dyDescent="0.25">
      <c r="A32" s="4">
        <v>1</v>
      </c>
      <c r="B32" s="13">
        <v>0</v>
      </c>
      <c r="C32" s="13">
        <v>38054108.87045109</v>
      </c>
      <c r="D32" s="13">
        <v>0</v>
      </c>
      <c r="E32" s="13">
        <v>0</v>
      </c>
      <c r="F32" s="13">
        <f>$B$28-C32</f>
        <v>8817891.129548907</v>
      </c>
      <c r="G32" s="13">
        <f>F32-E32</f>
        <v>8817891.129548907</v>
      </c>
      <c r="H32" s="13">
        <f>H31+G32</f>
        <v>-38922108.87045109</v>
      </c>
      <c r="I32" s="13">
        <f>G32/(1+$B$25)^A32</f>
        <v>7873117.079954381</v>
      </c>
    </row>
    <row r="33" spans="1:9" x14ac:dyDescent="0.25">
      <c r="A33" s="4">
        <v>2</v>
      </c>
      <c r="B33" s="13">
        <v>0</v>
      </c>
      <c r="C33" s="13">
        <v>38054108.87045109</v>
      </c>
      <c r="D33" s="13">
        <v>0</v>
      </c>
      <c r="E33" s="13">
        <v>0</v>
      </c>
      <c r="F33" s="13">
        <f>$B$28-C33</f>
        <v>8817891.129548907</v>
      </c>
      <c r="G33" s="13">
        <f>F33-E33</f>
        <v>8817891.129548907</v>
      </c>
      <c r="H33" s="13">
        <f>H32+G33</f>
        <v>-30104217.740902185</v>
      </c>
      <c r="I33" s="13">
        <f>G33/(1+$B$25)^A33</f>
        <v>7029568.8213878395</v>
      </c>
    </row>
    <row r="34" spans="1:9" x14ac:dyDescent="0.25">
      <c r="A34" s="4">
        <v>3</v>
      </c>
      <c r="B34" s="13">
        <v>0</v>
      </c>
      <c r="C34" s="13">
        <v>38054108.87045109</v>
      </c>
      <c r="D34" s="13">
        <v>0</v>
      </c>
      <c r="E34" s="13">
        <v>0</v>
      </c>
      <c r="F34" s="13">
        <f>$B$28-C34</f>
        <v>8817891.129548907</v>
      </c>
      <c r="G34" s="13">
        <f>F34-E34</f>
        <v>8817891.129548907</v>
      </c>
      <c r="H34" s="13">
        <f>H33+G34</f>
        <v>-21286326.61135328</v>
      </c>
      <c r="I34" s="13">
        <f>G34/(1+$B$25)^A34</f>
        <v>6276400.733381999</v>
      </c>
    </row>
    <row r="35" spans="1:9" x14ac:dyDescent="0.25">
      <c r="A35" s="4">
        <v>4</v>
      </c>
      <c r="B35" s="13">
        <v>0</v>
      </c>
      <c r="C35" s="13">
        <v>41834108.87045109</v>
      </c>
      <c r="D35" s="13">
        <v>3780000</v>
      </c>
      <c r="E35" s="13">
        <v>0</v>
      </c>
      <c r="F35" s="13">
        <f>$B$28-C35</f>
        <v>5037891.129548907</v>
      </c>
      <c r="G35" s="13">
        <f>F35-E35</f>
        <v>5037891.129548907</v>
      </c>
      <c r="H35" s="13">
        <f>H34+G35</f>
        <v>-16248435.48180437</v>
      </c>
      <c r="I35" s="13">
        <f>G35/(1+$B$25)^A35</f>
        <v>3201670.8898636657</v>
      </c>
    </row>
    <row r="36" spans="1:9" x14ac:dyDescent="0.25">
      <c r="A36" s="4">
        <v>5</v>
      </c>
      <c r="B36" s="13">
        <v>0</v>
      </c>
      <c r="C36" s="13">
        <v>38054108.87045109</v>
      </c>
      <c r="D36" s="13">
        <v>0</v>
      </c>
      <c r="E36" s="13">
        <v>0</v>
      </c>
      <c r="F36" s="13">
        <f>$B$28-C36</f>
        <v>8817891.129548907</v>
      </c>
      <c r="G36" s="13">
        <f>F36-E36</f>
        <v>8817891.129548907</v>
      </c>
      <c r="H36" s="13">
        <f>H35+G36</f>
        <v>-7430544.352255464</v>
      </c>
      <c r="I36" s="13">
        <f>G36/(1+$B$25)^A36</f>
        <v>5003508.237708863</v>
      </c>
    </row>
    <row r="38" spans="1:2" x14ac:dyDescent="0.25">
      <c r="A38" s="2" t="s">
        <v>556</v>
      </c>
      <c r="B38" s="13">
        <f>B31</f>
        <v>47740000</v>
      </c>
    </row>
    <row r="39" spans="1:2" x14ac:dyDescent="0.25">
      <c r="A39" s="2" t="s">
        <v>564</v>
      </c>
      <c r="B39" s="13">
        <f>B28-B29</f>
        <v>7872891.129548907</v>
      </c>
    </row>
    <row r="40" spans="1:2" x14ac:dyDescent="0.25">
      <c r="A40" s="2" t="s">
        <v>570</v>
      </c>
      <c r="B40" s="14">
        <f>IF(B39&gt;0,B38/B39,"не окупается")</f>
        <v>6.063846078198639</v>
      </c>
    </row>
    <row r="41" spans="1:2" x14ac:dyDescent="0.25">
      <c r="A41" s="2" t="s">
        <v>571</v>
      </c>
      <c r="B41" s="20">
        <f>IF(B38&gt;0,SUM(G32:G36)/B38*100,"—")</f>
        <v>84.43539096720683</v>
      </c>
    </row>
    <row r="42" spans="1:2" x14ac:dyDescent="0.25">
      <c r="A42" s="2" t="s">
        <v>572</v>
      </c>
      <c r="B42" s="20">
        <f>IF(ISNUMBER(B41),B41-100,"—")</f>
        <v>-15.564609032793172</v>
      </c>
    </row>
    <row r="43" spans="1:2" x14ac:dyDescent="0.25">
      <c r="A43" s="2" t="s">
        <v>573</v>
      </c>
      <c r="B43" s="13">
        <f>G31+NPV(B25,G32:G36)</f>
        <v>-18355734.237703256</v>
      </c>
    </row>
    <row r="44" spans="1:2" x14ac:dyDescent="0.25">
      <c r="A44" s="2" t="s">
        <v>574</v>
      </c>
      <c r="B44" s="14" t="s">
        <v>44</v>
      </c>
    </row>
    <row r="45" spans="1:2" x14ac:dyDescent="0.25">
      <c r="A45" s="2" t="s">
        <v>567</v>
      </c>
      <c r="B45" s="13">
        <f>B31+SUM(C32:C36)+SUM(E32:E36)</f>
        <v>241790544.35225546</v>
      </c>
    </row>
    <row r="46" spans="1:2" x14ac:dyDescent="0.25">
      <c r="A46" s="2" t="s">
        <v>568</v>
      </c>
      <c r="B46" s="13">
        <f>B27*B28</f>
        <v>234360000</v>
      </c>
    </row>
    <row r="47" spans="1:2" x14ac:dyDescent="0.25">
      <c r="A47" s="2" t="s">
        <v>575</v>
      </c>
      <c r="B47" s="13">
        <f>B45-B46</f>
        <v>7430544.352255464</v>
      </c>
    </row>
    <row r="49" spans="1:1" x14ac:dyDescent="0.25">
      <c r="A49" s="5" t="s">
        <v>576</v>
      </c>
    </row>
    <row r="50" spans="1:2" x14ac:dyDescent="0.25">
      <c r="A50" s="2" t="s">
        <v>550</v>
      </c>
      <c r="B50" s="18">
        <v>0.12</v>
      </c>
    </row>
    <row r="51" spans="1:2" x14ac:dyDescent="0.25">
      <c r="A51" s="2" t="s">
        <v>551</v>
      </c>
      <c r="B51" s="4">
        <v>5</v>
      </c>
    </row>
    <row r="52" spans="1:2" x14ac:dyDescent="0.25">
      <c r="A52" s="2" t="s">
        <v>552</v>
      </c>
      <c r="B52" s="4">
        <v>5</v>
      </c>
    </row>
    <row r="53" spans="1:2" x14ac:dyDescent="0.25">
      <c r="A53" s="19" t="s">
        <v>553</v>
      </c>
      <c r="B53" s="13">
        <v>46872000</v>
      </c>
    </row>
    <row r="54" spans="1:2" x14ac:dyDescent="0.25">
      <c r="A54" s="2" t="s">
        <v>554</v>
      </c>
      <c r="B54" s="13">
        <v>49520108.87045109</v>
      </c>
    </row>
    <row r="55" spans="1:9" x14ac:dyDescent="0.25">
      <c r="A55" s="6" t="s">
        <v>555</v>
      </c>
      <c r="B55" s="6" t="s">
        <v>556</v>
      </c>
      <c r="C55" s="6" t="s">
        <v>557</v>
      </c>
      <c r="D55" s="6" t="s">
        <v>558</v>
      </c>
      <c r="E55" s="6" t="s">
        <v>559</v>
      </c>
      <c r="F55" s="6" t="s">
        <v>560</v>
      </c>
      <c r="G55" s="6" t="s">
        <v>561</v>
      </c>
      <c r="H55" s="6" t="s">
        <v>562</v>
      </c>
      <c r="I55" s="6" t="s">
        <v>563</v>
      </c>
    </row>
    <row r="56" spans="1:9" x14ac:dyDescent="0.25">
      <c r="A56" s="4">
        <v>0</v>
      </c>
      <c r="B56" s="13">
        <v>1540000</v>
      </c>
      <c r="C56" s="13">
        <v>0</v>
      </c>
      <c r="D56" s="13">
        <v>0</v>
      </c>
      <c r="E56" s="13">
        <v>0</v>
      </c>
      <c r="F56" s="13">
        <v>0</v>
      </c>
      <c r="G56" s="13">
        <f>-B56</f>
        <v>-1540000</v>
      </c>
      <c r="H56" s="13">
        <f>G56</f>
        <v>-1540000</v>
      </c>
      <c r="I56" s="13">
        <f>G56/(1+$B$50)^A56</f>
        <v>-1540000</v>
      </c>
    </row>
    <row r="57" spans="1:9" x14ac:dyDescent="0.25">
      <c r="A57" s="4">
        <v>1</v>
      </c>
      <c r="B57" s="13">
        <v>0</v>
      </c>
      <c r="C57" s="13">
        <v>49520108.87045109</v>
      </c>
      <c r="D57" s="13">
        <v>0</v>
      </c>
      <c r="E57" s="13">
        <v>0</v>
      </c>
      <c r="F57" s="13">
        <f>$B$53-C57</f>
        <v>-2648108.8704510927</v>
      </c>
      <c r="G57" s="13">
        <f>F57-E57</f>
        <v>-2648108.8704510927</v>
      </c>
      <c r="H57" s="13">
        <f>H56+G57</f>
        <v>-4188108.8704510927</v>
      </c>
      <c r="I57" s="13">
        <f>G57/(1+$B$50)^A57</f>
        <v>-2364382.9200456184</v>
      </c>
    </row>
    <row r="58" spans="1:9" x14ac:dyDescent="0.25">
      <c r="A58" s="4">
        <v>2</v>
      </c>
      <c r="B58" s="13">
        <v>0</v>
      </c>
      <c r="C58" s="13">
        <v>49520108.87045109</v>
      </c>
      <c r="D58" s="13">
        <v>0</v>
      </c>
      <c r="E58" s="13">
        <v>0</v>
      </c>
      <c r="F58" s="13">
        <f>$B$53-C58</f>
        <v>-2648108.8704510927</v>
      </c>
      <c r="G58" s="13">
        <f>F58-E58</f>
        <v>-2648108.8704510927</v>
      </c>
      <c r="H58" s="13">
        <f>H57+G58</f>
        <v>-6836217.740902185</v>
      </c>
      <c r="I58" s="13">
        <f>G58/(1+$B$50)^A58</f>
        <v>-2111056.178612159</v>
      </c>
    </row>
    <row r="59" spans="1:9" x14ac:dyDescent="0.25">
      <c r="A59" s="4">
        <v>3</v>
      </c>
      <c r="B59" s="13">
        <v>0</v>
      </c>
      <c r="C59" s="13">
        <v>49520108.87045109</v>
      </c>
      <c r="D59" s="13">
        <v>0</v>
      </c>
      <c r="E59" s="13">
        <v>0</v>
      </c>
      <c r="F59" s="13">
        <f>$B$53-C59</f>
        <v>-2648108.8704510927</v>
      </c>
      <c r="G59" s="13">
        <f>F59-E59</f>
        <v>-2648108.8704510927</v>
      </c>
      <c r="H59" s="13">
        <f>H58+G59</f>
        <v>-9484326.611353278</v>
      </c>
      <c r="I59" s="13">
        <f>G59/(1+$B$50)^A59</f>
        <v>-1884871.5880465703</v>
      </c>
    </row>
    <row r="60" spans="1:9" x14ac:dyDescent="0.25">
      <c r="A60" s="4">
        <v>4</v>
      </c>
      <c r="B60" s="13">
        <v>0</v>
      </c>
      <c r="C60" s="13">
        <v>49520108.87045109</v>
      </c>
      <c r="D60" s="13">
        <v>0</v>
      </c>
      <c r="E60" s="13">
        <v>0</v>
      </c>
      <c r="F60" s="13">
        <f>$B$53-C60</f>
        <v>-2648108.8704510927</v>
      </c>
      <c r="G60" s="13">
        <f>F60-E60</f>
        <v>-2648108.8704510927</v>
      </c>
      <c r="H60" s="13">
        <f>H59+G60</f>
        <v>-12132435.48180437</v>
      </c>
      <c r="I60" s="13">
        <f>G60/(1+$B$50)^A60</f>
        <v>-1682921.060755866</v>
      </c>
    </row>
    <row r="61" spans="1:9" x14ac:dyDescent="0.25">
      <c r="A61" s="4">
        <v>5</v>
      </c>
      <c r="B61" s="13">
        <v>0</v>
      </c>
      <c r="C61" s="13">
        <v>49520108.87045109</v>
      </c>
      <c r="D61" s="13">
        <v>0</v>
      </c>
      <c r="E61" s="13">
        <v>0</v>
      </c>
      <c r="F61" s="13">
        <f>$B$53-C61</f>
        <v>-2648108.8704510927</v>
      </c>
      <c r="G61" s="13">
        <f>F61-E61</f>
        <v>-2648108.8704510927</v>
      </c>
      <c r="H61" s="13">
        <f>H60+G61</f>
        <v>-14780544.352255464</v>
      </c>
      <c r="I61" s="13">
        <f>G61/(1+$B$50)^A61</f>
        <v>-1502608.0899605947</v>
      </c>
    </row>
    <row r="63" spans="1:2" x14ac:dyDescent="0.25">
      <c r="A63" s="2" t="s">
        <v>556</v>
      </c>
      <c r="B63" s="13">
        <f>B56</f>
        <v>1540000</v>
      </c>
    </row>
    <row r="64" spans="1:2" x14ac:dyDescent="0.25">
      <c r="A64" s="2" t="s">
        <v>564</v>
      </c>
      <c r="B64" s="13">
        <f>B53-B54</f>
        <v>-2648108.8704510927</v>
      </c>
    </row>
    <row r="65" spans="1:2" x14ac:dyDescent="0.25">
      <c r="A65" s="2" t="s">
        <v>570</v>
      </c>
      <c r="B65" s="14" t="str">
        <f>IF(B64&gt;0,B63/B64,"не окупается")</f>
        <v>не окупается</v>
      </c>
    </row>
    <row r="66" spans="1:2" x14ac:dyDescent="0.25">
      <c r="A66" s="2" t="s">
        <v>571</v>
      </c>
      <c r="B66" s="20">
        <f>IF(B63&gt;0,SUM(G57:G61)/B63*100,"—")</f>
        <v>-859.7756072893159</v>
      </c>
    </row>
    <row r="67" spans="1:2" x14ac:dyDescent="0.25">
      <c r="A67" s="2" t="s">
        <v>572</v>
      </c>
      <c r="B67" s="20">
        <f>IF(ISNUMBER(B66),B66-100,"—")</f>
        <v>-959.7756072893159</v>
      </c>
    </row>
    <row r="68" spans="1:2" x14ac:dyDescent="0.25">
      <c r="A68" s="2" t="s">
        <v>573</v>
      </c>
      <c r="B68" s="13">
        <f>G56+NPV(B50,G57:G61)</f>
        <v>-11085839.83742081</v>
      </c>
    </row>
    <row r="69" spans="1:2" x14ac:dyDescent="0.25">
      <c r="A69" s="2" t="s">
        <v>574</v>
      </c>
      <c r="B69" s="14" t="s">
        <v>44</v>
      </c>
    </row>
    <row r="70" spans="1:2" x14ac:dyDescent="0.25">
      <c r="A70" s="2" t="s">
        <v>470</v>
      </c>
      <c r="B70" s="3" t="s">
        <v>89</v>
      </c>
    </row>
    <row r="71" spans="1:2" x14ac:dyDescent="0.25">
      <c r="A71" s="2" t="s">
        <v>567</v>
      </c>
      <c r="B71" s="13">
        <f>B56+SUM(C57:C61)+SUM(E57:E61)</f>
        <v>249140544.35225546</v>
      </c>
    </row>
    <row r="72" spans="1:2" x14ac:dyDescent="0.25">
      <c r="A72" s="2" t="s">
        <v>568</v>
      </c>
      <c r="B72" s="13">
        <f>B52*B53</f>
        <v>234360000</v>
      </c>
    </row>
    <row r="73" spans="1:2" x14ac:dyDescent="0.25">
      <c r="A73" s="2" t="s">
        <v>575</v>
      </c>
      <c r="B73" s="13">
        <f>B71-B72</f>
        <v>14780544.352255464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6" width="14" customWidth="1"/>
    <col min="7" max="7" width="16" customWidth="1"/>
    <col min="8" max="10" width="18" customWidth="1"/>
    <col min="11" max="12" width="14" customWidth="1"/>
    <col min="13" max="14" width="18" customWidth="1"/>
    <col min="15" max="15" width="14" customWidth="1"/>
  </cols>
  <sheetData>
    <row r="1" spans="1:15" x14ac:dyDescent="0.25">
      <c r="A1" s="6" t="s">
        <v>57</v>
      </c>
      <c r="B1" s="6" t="s">
        <v>92</v>
      </c>
      <c r="C1" s="6" t="s">
        <v>94</v>
      </c>
      <c r="D1" s="6" t="s">
        <v>577</v>
      </c>
      <c r="E1" s="6" t="s">
        <v>578</v>
      </c>
      <c r="F1" s="6" t="s">
        <v>579</v>
      </c>
      <c r="G1" s="6" t="s">
        <v>580</v>
      </c>
      <c r="H1" s="6" t="s">
        <v>581</v>
      </c>
      <c r="I1" s="6" t="s">
        <v>582</v>
      </c>
      <c r="J1" s="6" t="s">
        <v>583</v>
      </c>
      <c r="K1" s="6" t="s">
        <v>584</v>
      </c>
      <c r="L1" s="6" t="s">
        <v>585</v>
      </c>
      <c r="M1" s="6" t="s">
        <v>586</v>
      </c>
      <c r="N1" s="6" t="s">
        <v>587</v>
      </c>
      <c r="O1" s="6" t="s">
        <v>588</v>
      </c>
    </row>
    <row r="2" spans="1:15" x14ac:dyDescent="0.25">
      <c r="A2" s="4" t="s">
        <v>23</v>
      </c>
      <c r="B2" s="4" t="s">
        <v>589</v>
      </c>
      <c r="C2" s="4" t="s">
        <v>173</v>
      </c>
      <c r="D2" s="4">
        <v>25</v>
      </c>
      <c r="E2" s="4">
        <v>5</v>
      </c>
      <c r="F2" s="4">
        <v>80</v>
      </c>
      <c r="G2" s="4" t="s">
        <v>590</v>
      </c>
      <c r="H2" s="13" t="s">
        <v>33</v>
      </c>
      <c r="I2" s="13" t="s">
        <v>33</v>
      </c>
      <c r="J2" s="13">
        <v>703080000</v>
      </c>
      <c r="K2" s="14" t="s">
        <v>33</v>
      </c>
      <c r="L2" s="14" t="s">
        <v>33</v>
      </c>
      <c r="M2" s="13">
        <v>46872000</v>
      </c>
      <c r="N2" s="13">
        <v>749952000</v>
      </c>
      <c r="O2" s="4" t="s">
        <v>50</v>
      </c>
    </row>
    <row r="3" spans="1:15" x14ac:dyDescent="0.25">
      <c r="A3" s="4" t="s">
        <v>23</v>
      </c>
      <c r="B3" s="4" t="s">
        <v>591</v>
      </c>
      <c r="C3" s="4" t="s">
        <v>250</v>
      </c>
      <c r="D3" s="4">
        <v>5</v>
      </c>
      <c r="E3" s="4">
        <v>3</v>
      </c>
      <c r="F3" s="4">
        <v>10</v>
      </c>
      <c r="G3" s="4" t="s">
        <v>590</v>
      </c>
      <c r="H3" s="13" t="s">
        <v>33</v>
      </c>
      <c r="I3" s="13" t="s">
        <v>33</v>
      </c>
      <c r="J3" s="13">
        <v>234360000</v>
      </c>
      <c r="K3" s="14" t="s">
        <v>33</v>
      </c>
      <c r="L3" s="14" t="s">
        <v>33</v>
      </c>
      <c r="M3" s="13">
        <v>234360000</v>
      </c>
      <c r="N3" s="13">
        <v>468720000</v>
      </c>
      <c r="O3" s="4" t="s">
        <v>50</v>
      </c>
    </row>
    <row r="4" spans="1:15" x14ac:dyDescent="0.25">
      <c r="A4" s="4" t="s">
        <v>23</v>
      </c>
      <c r="B4" s="4" t="s">
        <v>592</v>
      </c>
      <c r="C4" s="4" t="s">
        <v>593</v>
      </c>
      <c r="D4" s="4">
        <v>120000</v>
      </c>
      <c r="E4" s="4">
        <v>80000</v>
      </c>
      <c r="F4" s="4">
        <v>170000</v>
      </c>
      <c r="G4" s="4" t="s">
        <v>590</v>
      </c>
      <c r="H4" s="13" t="s">
        <v>33</v>
      </c>
      <c r="I4" s="13" t="s">
        <v>33</v>
      </c>
      <c r="J4" s="13">
        <v>175770000</v>
      </c>
      <c r="K4" s="14" t="s">
        <v>33</v>
      </c>
      <c r="L4" s="14" t="s">
        <v>33</v>
      </c>
      <c r="M4" s="13">
        <v>156240000</v>
      </c>
      <c r="N4" s="13">
        <v>332010000</v>
      </c>
      <c r="O4" s="4" t="s">
        <v>50</v>
      </c>
    </row>
    <row r="5" spans="1:15" x14ac:dyDescent="0.25">
      <c r="A5" s="4" t="s">
        <v>24</v>
      </c>
      <c r="B5" s="4" t="s">
        <v>594</v>
      </c>
      <c r="C5" s="4" t="s">
        <v>595</v>
      </c>
      <c r="D5" s="4">
        <v>0.5</v>
      </c>
      <c r="E5" s="4">
        <v>0.3</v>
      </c>
      <c r="F5" s="4">
        <v>0.7</v>
      </c>
      <c r="G5" s="4" t="s">
        <v>596</v>
      </c>
      <c r="H5" s="13">
        <v>-50458717.567403115</v>
      </c>
      <c r="I5" s="13">
        <v>13747249.091996621</v>
      </c>
      <c r="J5" s="13">
        <v>64205966.65939973</v>
      </c>
      <c r="K5" s="14" t="s">
        <v>35</v>
      </c>
      <c r="L5" s="14">
        <v>2.845295921291212</v>
      </c>
      <c r="M5" s="13">
        <v>286318944.35225546</v>
      </c>
      <c r="N5" s="13">
        <v>197262144.35225546</v>
      </c>
      <c r="O5" s="21" t="s">
        <v>597</v>
      </c>
    </row>
    <row r="6" spans="1:15" x14ac:dyDescent="0.25">
      <c r="A6" s="4" t="s">
        <v>24</v>
      </c>
      <c r="B6" s="4" t="s">
        <v>592</v>
      </c>
      <c r="C6" s="4" t="s">
        <v>593</v>
      </c>
      <c r="D6" s="4">
        <v>120000</v>
      </c>
      <c r="E6" s="4">
        <v>80000</v>
      </c>
      <c r="F6" s="4">
        <v>170000</v>
      </c>
      <c r="G6" s="4" t="s">
        <v>590</v>
      </c>
      <c r="H6" s="13">
        <v>-35939283.340513885</v>
      </c>
      <c r="I6" s="13">
        <v>3623702.1408100408</v>
      </c>
      <c r="J6" s="13">
        <v>39562985.48132393</v>
      </c>
      <c r="K6" s="14">
        <v>15.939668394573363</v>
      </c>
      <c r="L6" s="14">
        <v>3.417273744413037</v>
      </c>
      <c r="M6" s="13">
        <v>188059782.56817028</v>
      </c>
      <c r="N6" s="13">
        <v>308953996.58236194</v>
      </c>
      <c r="O6" s="21" t="s">
        <v>597</v>
      </c>
    </row>
    <row r="7" spans="1:15" x14ac:dyDescent="0.25">
      <c r="A7" s="4" t="s">
        <v>24</v>
      </c>
      <c r="B7" s="4" t="s">
        <v>598</v>
      </c>
      <c r="C7" s="4" t="s">
        <v>599</v>
      </c>
      <c r="D7" s="4">
        <v>2700000</v>
      </c>
      <c r="E7" s="4">
        <v>2160000</v>
      </c>
      <c r="F7" s="4">
        <v>3240000</v>
      </c>
      <c r="G7" s="4" t="s">
        <v>600</v>
      </c>
      <c r="H7" s="13">
        <v>-8741719.327737352</v>
      </c>
      <c r="I7" s="13">
        <v>-27969749.147669155</v>
      </c>
      <c r="J7" s="13">
        <v>19228029.819931805</v>
      </c>
      <c r="K7" s="14">
        <v>4.756360127771531</v>
      </c>
      <c r="L7" s="14">
        <v>7.517140266380374</v>
      </c>
      <c r="M7" s="13">
        <v>231584544.35225546</v>
      </c>
      <c r="N7" s="13">
        <v>251996544.35225546</v>
      </c>
      <c r="O7" s="4" t="s">
        <v>50</v>
      </c>
    </row>
    <row r="8" spans="1:15" x14ac:dyDescent="0.25">
      <c r="A8" s="4" t="s">
        <v>24</v>
      </c>
      <c r="B8" s="4" t="s">
        <v>591</v>
      </c>
      <c r="C8" s="4" t="s">
        <v>250</v>
      </c>
      <c r="D8" s="4">
        <v>5</v>
      </c>
      <c r="E8" s="4">
        <v>3</v>
      </c>
      <c r="F8" s="4">
        <v>10</v>
      </c>
      <c r="G8" s="4" t="s">
        <v>590</v>
      </c>
      <c r="H8" s="13">
        <v>-26560913.365275785</v>
      </c>
      <c r="I8" s="13">
        <v>-17418007.153907724</v>
      </c>
      <c r="J8" s="13">
        <v>9142906.211368062</v>
      </c>
      <c r="K8" s="14">
        <v>6.063846078198639</v>
      </c>
      <c r="L8" s="14">
        <v>6.063846078198639</v>
      </c>
      <c r="M8" s="13">
        <v>241790544.35225546</v>
      </c>
      <c r="N8" s="13">
        <v>469861088.7045109</v>
      </c>
      <c r="O8" s="4" t="s">
        <v>50</v>
      </c>
    </row>
    <row r="9" spans="1:15" x14ac:dyDescent="0.25">
      <c r="A9" s="4" t="s">
        <v>24</v>
      </c>
      <c r="B9" s="4" t="s">
        <v>550</v>
      </c>
      <c r="C9" s="4" t="s">
        <v>601</v>
      </c>
      <c r="D9" s="4">
        <v>0.12</v>
      </c>
      <c r="E9" s="4">
        <v>0.08</v>
      </c>
      <c r="F9" s="4">
        <v>0.2</v>
      </c>
      <c r="G9" s="4" t="s">
        <v>596</v>
      </c>
      <c r="H9" s="13">
        <v>-15311130.424758857</v>
      </c>
      <c r="I9" s="13">
        <v>-23192024.40616514</v>
      </c>
      <c r="J9" s="13">
        <v>7880893.9814062845</v>
      </c>
      <c r="K9" s="14">
        <v>6.063846078198639</v>
      </c>
      <c r="L9" s="14">
        <v>6.063846078198639</v>
      </c>
      <c r="M9" s="13">
        <v>241790544.35225546</v>
      </c>
      <c r="N9" s="13">
        <v>241790544.35225546</v>
      </c>
      <c r="O9" s="4" t="s">
        <v>50</v>
      </c>
    </row>
    <row r="10" spans="1:15" x14ac:dyDescent="0.25">
      <c r="A10" s="4" t="s">
        <v>24</v>
      </c>
      <c r="B10" s="4" t="s">
        <v>602</v>
      </c>
      <c r="C10" s="4" t="s">
        <v>603</v>
      </c>
      <c r="D10" s="4">
        <v>300000</v>
      </c>
      <c r="E10" s="4">
        <v>240000</v>
      </c>
      <c r="F10" s="4">
        <v>360000</v>
      </c>
      <c r="G10" s="4" t="s">
        <v>600</v>
      </c>
      <c r="H10" s="13">
        <v>-15327722.227733454</v>
      </c>
      <c r="I10" s="13">
        <v>-21383746.247673057</v>
      </c>
      <c r="J10" s="13">
        <v>6056024.019939603</v>
      </c>
      <c r="K10" s="14">
        <v>5.47923752175607</v>
      </c>
      <c r="L10" s="14">
        <v>6.788104510735127</v>
      </c>
      <c r="M10" s="13">
        <v>237590544.35225546</v>
      </c>
      <c r="N10" s="13">
        <v>245990544.35225546</v>
      </c>
      <c r="O10" s="4" t="s">
        <v>50</v>
      </c>
    </row>
    <row r="11" spans="1:15" x14ac:dyDescent="0.25">
      <c r="A11" s="4" t="s">
        <v>24</v>
      </c>
      <c r="B11" s="4" t="s">
        <v>604</v>
      </c>
      <c r="C11" s="4" t="s">
        <v>605</v>
      </c>
      <c r="D11" s="4">
        <v>1.5</v>
      </c>
      <c r="E11" s="4">
        <v>1.2</v>
      </c>
      <c r="F11" s="4">
        <v>2.5</v>
      </c>
      <c r="G11" s="4" t="s">
        <v>590</v>
      </c>
      <c r="H11" s="13">
        <v>-18355734.237703256</v>
      </c>
      <c r="I11" s="13">
        <v>-21072944.79345344</v>
      </c>
      <c r="J11" s="13">
        <v>2717210.5557501838</v>
      </c>
      <c r="K11" s="14">
        <v>6.063846078198639</v>
      </c>
      <c r="L11" s="14">
        <v>6.705893966650886</v>
      </c>
      <c r="M11" s="13">
        <v>241790544.35225546</v>
      </c>
      <c r="N11" s="13">
        <v>245559447.61174574</v>
      </c>
      <c r="O11" s="4" t="s">
        <v>50</v>
      </c>
    </row>
    <row r="12" spans="1:15" x14ac:dyDescent="0.25">
      <c r="A12" s="4" t="s">
        <v>24</v>
      </c>
      <c r="B12" s="4" t="s">
        <v>606</v>
      </c>
      <c r="C12" s="4" t="s">
        <v>595</v>
      </c>
      <c r="D12" s="4">
        <v>0.775</v>
      </c>
      <c r="E12" s="4">
        <v>0.7</v>
      </c>
      <c r="F12" s="4">
        <v>0.85</v>
      </c>
      <c r="G12" s="4" t="s">
        <v>596</v>
      </c>
      <c r="H12" s="13">
        <v>-18246317.023722976</v>
      </c>
      <c r="I12" s="13">
        <v>-18465151.4516835</v>
      </c>
      <c r="J12" s="13">
        <v>218834.42796052247</v>
      </c>
      <c r="K12" s="14">
        <v>6.040557118220005</v>
      </c>
      <c r="L12" s="14">
        <v>6.087315311232291</v>
      </c>
      <c r="M12" s="13">
        <v>241638777.35225543</v>
      </c>
      <c r="N12" s="13">
        <v>241942311.3522555</v>
      </c>
      <c r="O12" s="4" t="s">
        <v>50</v>
      </c>
    </row>
    <row r="13" spans="1:15" x14ac:dyDescent="0.25">
      <c r="A13" s="4" t="s">
        <v>24</v>
      </c>
      <c r="B13" s="4" t="s">
        <v>607</v>
      </c>
      <c r="C13" s="4" t="s">
        <v>471</v>
      </c>
      <c r="D13" s="4">
        <v>19.22573593904989</v>
      </c>
      <c r="E13" s="4">
        <v>15.380588751239912</v>
      </c>
      <c r="F13" s="4">
        <v>23.07088312685987</v>
      </c>
      <c r="G13" s="4" t="s">
        <v>600</v>
      </c>
      <c r="H13" s="13">
        <v>-18355734.237703256</v>
      </c>
      <c r="I13" s="13">
        <v>-18355734.237703256</v>
      </c>
      <c r="J13" s="13">
        <v>0</v>
      </c>
      <c r="K13" s="14">
        <v>6.063846078198639</v>
      </c>
      <c r="L13" s="14">
        <v>6.063846078198639</v>
      </c>
      <c r="M13" s="13">
        <v>241790544.35225546</v>
      </c>
      <c r="N13" s="13">
        <v>241790544.35225546</v>
      </c>
      <c r="O13" s="4" t="s">
        <v>50</v>
      </c>
    </row>
    <row r="14" spans="1:15" x14ac:dyDescent="0.25">
      <c r="A14" s="4" t="s">
        <v>24</v>
      </c>
      <c r="B14" s="4" t="s">
        <v>608</v>
      </c>
      <c r="C14" s="4" t="s">
        <v>254</v>
      </c>
      <c r="D14" s="4">
        <v>1900</v>
      </c>
      <c r="E14" s="4">
        <v>1520</v>
      </c>
      <c r="F14" s="4">
        <v>2280</v>
      </c>
      <c r="G14" s="4" t="s">
        <v>600</v>
      </c>
      <c r="H14" s="13">
        <v>-18355734.237703256</v>
      </c>
      <c r="I14" s="13">
        <v>-18355734.237703256</v>
      </c>
      <c r="J14" s="13">
        <v>0</v>
      </c>
      <c r="K14" s="14">
        <v>6.063846078198639</v>
      </c>
      <c r="L14" s="14">
        <v>6.063846078198639</v>
      </c>
      <c r="M14" s="13">
        <v>241790544.35225546</v>
      </c>
      <c r="N14" s="13">
        <v>241790544.35225546</v>
      </c>
      <c r="O14" s="4" t="s">
        <v>50</v>
      </c>
    </row>
    <row r="15" spans="1:15" x14ac:dyDescent="0.25">
      <c r="A15" s="4" t="s">
        <v>25</v>
      </c>
      <c r="B15" s="4" t="s">
        <v>594</v>
      </c>
      <c r="C15" s="4" t="s">
        <v>595</v>
      </c>
      <c r="D15" s="4">
        <v>0.5</v>
      </c>
      <c r="E15" s="4">
        <v>0.3</v>
      </c>
      <c r="F15" s="4">
        <v>0.7</v>
      </c>
      <c r="G15" s="4" t="s">
        <v>596</v>
      </c>
      <c r="H15" s="13">
        <v>-43188823.167120665</v>
      </c>
      <c r="I15" s="13">
        <v>21017143.492279045</v>
      </c>
      <c r="J15" s="13">
        <v>64205966.65939971</v>
      </c>
      <c r="K15" s="14" t="s">
        <v>35</v>
      </c>
      <c r="L15" s="14">
        <v>0.24610187692920635</v>
      </c>
      <c r="M15" s="13">
        <v>293668944.35225546</v>
      </c>
      <c r="N15" s="13">
        <v>204612144.35225546</v>
      </c>
      <c r="O15" s="21" t="s">
        <v>597</v>
      </c>
    </row>
    <row r="16" spans="1:15" x14ac:dyDescent="0.25">
      <c r="A16" s="4" t="s">
        <v>25</v>
      </c>
      <c r="B16" s="4" t="s">
        <v>592</v>
      </c>
      <c r="C16" s="4" t="s">
        <v>593</v>
      </c>
      <c r="D16" s="4">
        <v>120000</v>
      </c>
      <c r="E16" s="4">
        <v>80000</v>
      </c>
      <c r="F16" s="4">
        <v>170000</v>
      </c>
      <c r="G16" s="4" t="s">
        <v>590</v>
      </c>
      <c r="H16" s="13">
        <v>-28669388.94023142</v>
      </c>
      <c r="I16" s="13">
        <v>10893596.541092481</v>
      </c>
      <c r="J16" s="13">
        <v>39562985.4813239</v>
      </c>
      <c r="K16" s="14" t="s">
        <v>35</v>
      </c>
      <c r="L16" s="14">
        <v>0.4464802547890568</v>
      </c>
      <c r="M16" s="13">
        <v>195409782.56817028</v>
      </c>
      <c r="N16" s="13">
        <v>316303996.58236194</v>
      </c>
      <c r="O16" s="21" t="s">
        <v>597</v>
      </c>
    </row>
    <row r="17" spans="1:15" x14ac:dyDescent="0.25">
      <c r="A17" s="4" t="s">
        <v>25</v>
      </c>
      <c r="B17" s="4" t="s">
        <v>609</v>
      </c>
      <c r="C17" s="4" t="s">
        <v>593</v>
      </c>
      <c r="D17" s="4">
        <v>100000</v>
      </c>
      <c r="E17" s="4">
        <v>80000</v>
      </c>
      <c r="F17" s="4">
        <v>120000</v>
      </c>
      <c r="G17" s="4" t="s">
        <v>600</v>
      </c>
      <c r="H17" s="13">
        <v>1026208.2024584054</v>
      </c>
      <c r="I17" s="13">
        <v>-23197887.87730002</v>
      </c>
      <c r="J17" s="13">
        <v>24224096.079758424</v>
      </c>
      <c r="K17" s="14">
        <v>2.1632521267343607</v>
      </c>
      <c r="L17" s="14" t="s">
        <v>35</v>
      </c>
      <c r="M17" s="13">
        <v>232340544.35225546</v>
      </c>
      <c r="N17" s="13">
        <v>265940544.35225546</v>
      </c>
      <c r="O17" s="21" t="s">
        <v>597</v>
      </c>
    </row>
    <row r="18" spans="1:15" x14ac:dyDescent="0.25">
      <c r="A18" s="4" t="s">
        <v>25</v>
      </c>
      <c r="B18" s="4" t="s">
        <v>591</v>
      </c>
      <c r="C18" s="4" t="s">
        <v>250</v>
      </c>
      <c r="D18" s="4">
        <v>5</v>
      </c>
      <c r="E18" s="4">
        <v>3</v>
      </c>
      <c r="F18" s="4">
        <v>10</v>
      </c>
      <c r="G18" s="4" t="s">
        <v>590</v>
      </c>
      <c r="H18" s="13">
        <v>-7900310.686704348</v>
      </c>
      <c r="I18" s="13">
        <v>-16502405.721561844</v>
      </c>
      <c r="J18" s="13">
        <v>8602095.034857497</v>
      </c>
      <c r="K18" s="14" t="s">
        <v>35</v>
      </c>
      <c r="L18" s="14" t="s">
        <v>35</v>
      </c>
      <c r="M18" s="13">
        <v>249140544.35225546</v>
      </c>
      <c r="N18" s="13">
        <v>496741088.7045109</v>
      </c>
      <c r="O18" s="4" t="s">
        <v>50</v>
      </c>
    </row>
    <row r="19" spans="1:15" x14ac:dyDescent="0.25">
      <c r="A19" s="4" t="s">
        <v>25</v>
      </c>
      <c r="B19" s="4" t="s">
        <v>604</v>
      </c>
      <c r="C19" s="4" t="s">
        <v>605</v>
      </c>
      <c r="D19" s="4">
        <v>1.5</v>
      </c>
      <c r="E19" s="4">
        <v>1.2</v>
      </c>
      <c r="F19" s="4">
        <v>2.5</v>
      </c>
      <c r="G19" s="4" t="s">
        <v>590</v>
      </c>
      <c r="H19" s="13">
        <v>-11085839.83742081</v>
      </c>
      <c r="I19" s="13">
        <v>-13803050.393171025</v>
      </c>
      <c r="J19" s="13">
        <v>2717210.5557502154</v>
      </c>
      <c r="K19" s="14" t="s">
        <v>35</v>
      </c>
      <c r="L19" s="14" t="s">
        <v>35</v>
      </c>
      <c r="M19" s="13">
        <v>249140544.35225546</v>
      </c>
      <c r="N19" s="13">
        <v>252909447.61174574</v>
      </c>
      <c r="O19" s="4" t="s">
        <v>50</v>
      </c>
    </row>
    <row r="20" spans="1:15" x14ac:dyDescent="0.25">
      <c r="A20" s="4" t="s">
        <v>25</v>
      </c>
      <c r="B20" s="4" t="s">
        <v>550</v>
      </c>
      <c r="C20" s="4" t="s">
        <v>601</v>
      </c>
      <c r="D20" s="4">
        <v>0.12</v>
      </c>
      <c r="E20" s="4">
        <v>0.08</v>
      </c>
      <c r="F20" s="4">
        <v>0.2</v>
      </c>
      <c r="G20" s="4" t="s">
        <v>596</v>
      </c>
      <c r="H20" s="13">
        <v>-12113130.866325587</v>
      </c>
      <c r="I20" s="13">
        <v>-9459466.535794776</v>
      </c>
      <c r="J20" s="13">
        <v>2653664.330530811</v>
      </c>
      <c r="K20" s="14" t="s">
        <v>35</v>
      </c>
      <c r="L20" s="14" t="s">
        <v>35</v>
      </c>
      <c r="M20" s="13">
        <v>249140544.35225546</v>
      </c>
      <c r="N20" s="13">
        <v>249140544.35225546</v>
      </c>
      <c r="O20" s="4" t="s">
        <v>50</v>
      </c>
    </row>
    <row r="21" spans="1:15" x14ac:dyDescent="0.25">
      <c r="A21" s="4" t="s">
        <v>25</v>
      </c>
      <c r="B21" s="4" t="s">
        <v>606</v>
      </c>
      <c r="C21" s="4" t="s">
        <v>595</v>
      </c>
      <c r="D21" s="4">
        <v>0.775</v>
      </c>
      <c r="E21" s="4">
        <v>0.7</v>
      </c>
      <c r="F21" s="4">
        <v>0.85</v>
      </c>
      <c r="G21" s="4" t="s">
        <v>596</v>
      </c>
      <c r="H21" s="13">
        <v>-10976422.623440528</v>
      </c>
      <c r="I21" s="13">
        <v>-11195257.051401062</v>
      </c>
      <c r="J21" s="13">
        <v>218834.42796053365</v>
      </c>
      <c r="K21" s="14" t="s">
        <v>35</v>
      </c>
      <c r="L21" s="14" t="s">
        <v>35</v>
      </c>
      <c r="M21" s="13">
        <v>248988777.35225543</v>
      </c>
      <c r="N21" s="13">
        <v>249292311.35225546</v>
      </c>
      <c r="O21" s="4" t="s">
        <v>50</v>
      </c>
    </row>
    <row r="22" spans="1:15" x14ac:dyDescent="0.25">
      <c r="A22" s="4" t="s">
        <v>25</v>
      </c>
      <c r="B22" s="4" t="s">
        <v>607</v>
      </c>
      <c r="C22" s="4" t="s">
        <v>471</v>
      </c>
      <c r="D22" s="4">
        <v>19.22573593904989</v>
      </c>
      <c r="E22" s="4">
        <v>15.380588751239912</v>
      </c>
      <c r="F22" s="4">
        <v>23.07088312685987</v>
      </c>
      <c r="G22" s="4" t="s">
        <v>600</v>
      </c>
      <c r="H22" s="13">
        <v>-11085839.83742081</v>
      </c>
      <c r="I22" s="13">
        <v>-11085839.83742081</v>
      </c>
      <c r="J22" s="13">
        <v>0</v>
      </c>
      <c r="K22" s="14" t="s">
        <v>35</v>
      </c>
      <c r="L22" s="14" t="s">
        <v>35</v>
      </c>
      <c r="M22" s="13">
        <v>249140544.35225546</v>
      </c>
      <c r="N22" s="13">
        <v>249140544.35225546</v>
      </c>
      <c r="O22" s="4" t="s">
        <v>50</v>
      </c>
    </row>
    <row r="23" spans="1:15" x14ac:dyDescent="0.25">
      <c r="A23" s="4" t="s">
        <v>25</v>
      </c>
      <c r="B23" s="4" t="s">
        <v>608</v>
      </c>
      <c r="C23" s="4" t="s">
        <v>254</v>
      </c>
      <c r="D23" s="4">
        <v>1900</v>
      </c>
      <c r="E23" s="4">
        <v>1520</v>
      </c>
      <c r="F23" s="4">
        <v>2280</v>
      </c>
      <c r="G23" s="4" t="s">
        <v>600</v>
      </c>
      <c r="H23" s="13">
        <v>-11085839.83742081</v>
      </c>
      <c r="I23" s="13">
        <v>-11085839.83742081</v>
      </c>
      <c r="J23" s="13">
        <v>0</v>
      </c>
      <c r="K23" s="14" t="s">
        <v>35</v>
      </c>
      <c r="L23" s="14" t="s">
        <v>35</v>
      </c>
      <c r="M23" s="13">
        <v>249140544.35225546</v>
      </c>
      <c r="N23" s="13">
        <v>249140544.35225546</v>
      </c>
      <c r="O23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2" customWidth="1"/>
  </cols>
  <sheetData>
    <row r="1" spans="1:3" x14ac:dyDescent="0.25">
      <c r="A1" s="6" t="s">
        <v>22</v>
      </c>
      <c r="B1" s="6" t="s">
        <v>24</v>
      </c>
      <c r="C1" s="6" t="s">
        <v>25</v>
      </c>
    </row>
    <row r="2" spans="1:3" x14ac:dyDescent="0.25">
      <c r="A2" s="4" t="s">
        <v>610</v>
      </c>
      <c r="B2" s="4">
        <v>129.5</v>
      </c>
      <c r="C2" s="4">
        <v>129.5</v>
      </c>
    </row>
    <row r="3" spans="1:3" x14ac:dyDescent="0.25">
      <c r="A3" s="4" t="s">
        <v>611</v>
      </c>
      <c r="B3" s="4">
        <v>132</v>
      </c>
      <c r="C3" s="4">
        <v>132</v>
      </c>
    </row>
    <row r="4" spans="1:3" x14ac:dyDescent="0.25">
      <c r="A4" s="4" t="s">
        <v>612</v>
      </c>
      <c r="B4" s="4">
        <v>48.8</v>
      </c>
      <c r="C4" s="4">
        <v>48.8</v>
      </c>
    </row>
    <row r="5" spans="1:3" x14ac:dyDescent="0.25">
      <c r="A5" s="4" t="s">
        <v>613</v>
      </c>
      <c r="B5" s="4">
        <v>45.3</v>
      </c>
      <c r="C5" s="4">
        <v>45.3</v>
      </c>
    </row>
    <row r="6" spans="1:3" x14ac:dyDescent="0.25">
      <c r="A6" s="4" t="s">
        <v>614</v>
      </c>
      <c r="B6" s="4">
        <v>5.6</v>
      </c>
      <c r="C6" s="4">
        <v>5.6</v>
      </c>
    </row>
    <row r="7" spans="1:3" x14ac:dyDescent="0.25">
      <c r="A7" s="4" t="s">
        <v>615</v>
      </c>
      <c r="B7" s="4">
        <v>0.2</v>
      </c>
      <c r="C7" s="4">
        <v>0.2</v>
      </c>
    </row>
    <row r="8" spans="1:3" x14ac:dyDescent="0.25">
      <c r="A8" s="4" t="s">
        <v>616</v>
      </c>
      <c r="B8" s="4">
        <v>2</v>
      </c>
      <c r="C8" s="4">
        <v>2</v>
      </c>
    </row>
    <row r="9" spans="1:3" x14ac:dyDescent="0.25">
      <c r="A9" s="4" t="s">
        <v>617</v>
      </c>
      <c r="B9" s="4">
        <v>0</v>
      </c>
      <c r="C9" s="4">
        <v>0</v>
      </c>
    </row>
    <row r="10" spans="1:3" x14ac:dyDescent="0.25">
      <c r="A10" s="4" t="s">
        <v>618</v>
      </c>
      <c r="B10" s="4" t="s">
        <v>50</v>
      </c>
      <c r="C10" s="4" t="s">
        <v>50</v>
      </c>
    </row>
    <row r="11" spans="1:3" x14ac:dyDescent="0.25">
      <c r="A11" s="4" t="s">
        <v>619</v>
      </c>
      <c r="B11" s="3" t="s">
        <v>620</v>
      </c>
      <c r="C11" s="3" t="s">
        <v>620</v>
      </c>
    </row>
    <row r="12" spans="1:3" x14ac:dyDescent="0.25">
      <c r="A12" s="4" t="s">
        <v>621</v>
      </c>
      <c r="B12" s="4">
        <v>14</v>
      </c>
      <c r="C12" s="4">
        <v>14</v>
      </c>
    </row>
    <row r="13" spans="1:3" x14ac:dyDescent="0.25">
      <c r="A13" s="4" t="s">
        <v>622</v>
      </c>
      <c r="B13" s="4">
        <v>77.5</v>
      </c>
      <c r="C13" s="4">
        <v>77.5</v>
      </c>
    </row>
    <row r="14" spans="1:3" x14ac:dyDescent="0.25">
      <c r="A14" s="4" t="s">
        <v>623</v>
      </c>
      <c r="B14" s="4">
        <v>100</v>
      </c>
      <c r="C14" s="4">
        <v>100</v>
      </c>
    </row>
    <row r="15" spans="1:3" x14ac:dyDescent="0.25">
      <c r="A15" s="4" t="s">
        <v>624</v>
      </c>
      <c r="B15" s="4">
        <v>9</v>
      </c>
      <c r="C15" s="4">
        <v>9</v>
      </c>
    </row>
    <row r="16" spans="1:3" x14ac:dyDescent="0.25">
      <c r="A16" s="4" t="s">
        <v>625</v>
      </c>
      <c r="B16" s="4">
        <v>3</v>
      </c>
      <c r="C16" s="4">
        <v>3</v>
      </c>
    </row>
    <row r="17" spans="1:3" x14ac:dyDescent="0.25">
      <c r="A17" s="4" t="s">
        <v>626</v>
      </c>
      <c r="B17" s="4" t="s">
        <v>627</v>
      </c>
      <c r="C17" s="4" t="s">
        <v>627</v>
      </c>
    </row>
    <row r="18" spans="1:3" x14ac:dyDescent="0.25">
      <c r="A18" s="4" t="s">
        <v>628</v>
      </c>
      <c r="B18" s="4">
        <v>1</v>
      </c>
      <c r="C18" s="4">
        <v>1</v>
      </c>
    </row>
    <row r="19" spans="1:3" x14ac:dyDescent="0.25">
      <c r="A19" s="4" t="s">
        <v>9</v>
      </c>
      <c r="B19" s="4" t="s">
        <v>10</v>
      </c>
      <c r="C19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26" customWidth="1"/>
    <col min="4" max="4" width="14" customWidth="1"/>
    <col min="5" max="5" width="12" customWidth="1"/>
    <col min="6" max="6" width="14" customWidth="1"/>
    <col min="7" max="8" width="10" customWidth="1"/>
    <col min="9" max="9" width="18" customWidth="1"/>
    <col min="10" max="10" width="80" customWidth="1"/>
    <col min="11" max="11" width="60" customWidth="1"/>
  </cols>
  <sheetData>
    <row r="1" spans="1:11" x14ac:dyDescent="0.25">
      <c r="A1" s="6" t="s">
        <v>629</v>
      </c>
      <c r="B1" s="6" t="s">
        <v>630</v>
      </c>
      <c r="C1" s="6" t="s">
        <v>631</v>
      </c>
      <c r="D1" s="6" t="s">
        <v>632</v>
      </c>
      <c r="E1" s="6" t="s">
        <v>94</v>
      </c>
      <c r="F1" s="6" t="s">
        <v>95</v>
      </c>
      <c r="G1" s="6" t="s">
        <v>633</v>
      </c>
      <c r="H1" s="6" t="s">
        <v>634</v>
      </c>
      <c r="I1" s="6" t="s">
        <v>477</v>
      </c>
      <c r="J1" s="6" t="s">
        <v>635</v>
      </c>
      <c r="K1" s="6" t="s">
        <v>97</v>
      </c>
    </row>
    <row r="2" spans="1:11" x14ac:dyDescent="0.25">
      <c r="A2" s="4" t="s">
        <v>636</v>
      </c>
      <c r="B2" s="4" t="s">
        <v>637</v>
      </c>
      <c r="C2" s="4" t="s">
        <v>638</v>
      </c>
      <c r="D2" s="4">
        <v>0.775</v>
      </c>
      <c r="E2" s="4" t="s">
        <v>595</v>
      </c>
      <c r="F2" s="4">
        <v>0.775</v>
      </c>
      <c r="G2" s="4">
        <v>0.7</v>
      </c>
      <c r="H2" s="4">
        <v>0.85</v>
      </c>
      <c r="I2" s="4" t="s">
        <v>482</v>
      </c>
      <c r="J2" s="3" t="s">
        <v>639</v>
      </c>
      <c r="K2" s="3" t="s">
        <v>640</v>
      </c>
    </row>
    <row r="3" spans="1:11" x14ac:dyDescent="0.25">
      <c r="A3" s="4" t="s">
        <v>636</v>
      </c>
      <c r="B3" s="4" t="s">
        <v>641</v>
      </c>
      <c r="C3" s="4" t="s">
        <v>642</v>
      </c>
      <c r="D3" s="4">
        <v>1</v>
      </c>
      <c r="E3" s="4" t="s">
        <v>595</v>
      </c>
      <c r="F3" s="4">
        <v>1</v>
      </c>
      <c r="G3" s="4">
        <v>0.9</v>
      </c>
      <c r="H3" s="4">
        <v>1</v>
      </c>
      <c r="I3" s="4" t="s">
        <v>264</v>
      </c>
      <c r="J3" s="3" t="s">
        <v>643</v>
      </c>
      <c r="K3" s="3" t="s">
        <v>644</v>
      </c>
    </row>
    <row r="4" spans="1:11" x14ac:dyDescent="0.25">
      <c r="A4" s="4" t="s">
        <v>636</v>
      </c>
      <c r="B4" s="4" t="s">
        <v>645</v>
      </c>
      <c r="C4" s="4" t="s">
        <v>646</v>
      </c>
      <c r="D4" s="4">
        <v>0.175</v>
      </c>
      <c r="E4" s="4" t="s">
        <v>595</v>
      </c>
      <c r="F4" s="4">
        <v>0.175</v>
      </c>
      <c r="G4" s="4">
        <v>0.15</v>
      </c>
      <c r="H4" s="4">
        <v>0.2</v>
      </c>
      <c r="I4" s="4" t="s">
        <v>482</v>
      </c>
      <c r="J4" s="3" t="s">
        <v>647</v>
      </c>
      <c r="K4" s="3" t="s">
        <v>648</v>
      </c>
    </row>
    <row r="5" spans="1:11" x14ac:dyDescent="0.25">
      <c r="A5" s="4" t="s">
        <v>636</v>
      </c>
      <c r="B5" s="4" t="s">
        <v>649</v>
      </c>
      <c r="C5" s="4" t="s">
        <v>650</v>
      </c>
      <c r="D5" s="4">
        <v>0.8</v>
      </c>
      <c r="E5" s="4" t="s">
        <v>595</v>
      </c>
      <c r="F5" s="4">
        <v>0.8</v>
      </c>
      <c r="G5" s="4">
        <v>0.6</v>
      </c>
      <c r="H5" s="4">
        <v>1</v>
      </c>
      <c r="I5" s="4" t="s">
        <v>256</v>
      </c>
      <c r="J5" s="3" t="s">
        <v>651</v>
      </c>
      <c r="K5" s="4" t="s">
        <v>33</v>
      </c>
    </row>
    <row r="6" spans="1:11" x14ac:dyDescent="0.25">
      <c r="A6" s="4" t="s">
        <v>636</v>
      </c>
      <c r="B6" s="3" t="s">
        <v>652</v>
      </c>
      <c r="C6" s="4" t="s">
        <v>653</v>
      </c>
      <c r="D6" s="4">
        <v>20</v>
      </c>
      <c r="E6" s="4" t="s">
        <v>654</v>
      </c>
      <c r="F6" s="4">
        <v>20</v>
      </c>
      <c r="G6" s="4">
        <v>0</v>
      </c>
      <c r="H6" s="4" t="s">
        <v>33</v>
      </c>
      <c r="I6" s="4" t="s">
        <v>256</v>
      </c>
      <c r="J6" s="3" t="s">
        <v>655</v>
      </c>
      <c r="K6" s="4" t="s">
        <v>33</v>
      </c>
    </row>
    <row r="7" spans="1:11" x14ac:dyDescent="0.25">
      <c r="A7" s="4" t="s">
        <v>636</v>
      </c>
      <c r="B7" s="3" t="s">
        <v>656</v>
      </c>
      <c r="C7" s="4" t="s">
        <v>657</v>
      </c>
      <c r="D7" s="4">
        <v>45</v>
      </c>
      <c r="E7" s="4" t="s">
        <v>654</v>
      </c>
      <c r="F7" s="4">
        <v>45</v>
      </c>
      <c r="G7" s="4">
        <v>0</v>
      </c>
      <c r="H7" s="4" t="s">
        <v>33</v>
      </c>
      <c r="I7" s="4" t="s">
        <v>256</v>
      </c>
      <c r="J7" s="3" t="s">
        <v>658</v>
      </c>
      <c r="K7" s="4" t="s">
        <v>33</v>
      </c>
    </row>
    <row r="8" spans="1:11" x14ac:dyDescent="0.25">
      <c r="A8" s="4" t="s">
        <v>636</v>
      </c>
      <c r="B8" s="4" t="s">
        <v>659</v>
      </c>
      <c r="C8" s="4" t="s">
        <v>660</v>
      </c>
      <c r="D8" s="4">
        <v>30</v>
      </c>
      <c r="E8" s="4" t="s">
        <v>654</v>
      </c>
      <c r="F8" s="4">
        <v>30</v>
      </c>
      <c r="G8" s="4">
        <v>0</v>
      </c>
      <c r="H8" s="4" t="s">
        <v>33</v>
      </c>
      <c r="I8" s="4" t="s">
        <v>256</v>
      </c>
      <c r="J8" s="3" t="s">
        <v>661</v>
      </c>
      <c r="K8" s="4" t="s">
        <v>33</v>
      </c>
    </row>
    <row r="9" spans="1:11" x14ac:dyDescent="0.25">
      <c r="A9" s="4" t="s">
        <v>636</v>
      </c>
      <c r="B9" s="4" t="s">
        <v>662</v>
      </c>
      <c r="C9" s="4" t="s">
        <v>663</v>
      </c>
      <c r="D9" s="4">
        <v>1.5</v>
      </c>
      <c r="E9" s="4" t="s">
        <v>605</v>
      </c>
      <c r="F9" s="4">
        <v>1.5</v>
      </c>
      <c r="G9" s="4">
        <v>1</v>
      </c>
      <c r="H9" s="4">
        <v>3</v>
      </c>
      <c r="I9" s="4" t="s">
        <v>256</v>
      </c>
      <c r="J9" s="3" t="s">
        <v>664</v>
      </c>
      <c r="K9" s="4" t="s">
        <v>33</v>
      </c>
    </row>
    <row r="10" spans="1:11" x14ac:dyDescent="0.25">
      <c r="A10" s="4" t="s">
        <v>636</v>
      </c>
      <c r="B10" s="3" t="s">
        <v>665</v>
      </c>
      <c r="C10" s="4" t="s">
        <v>666</v>
      </c>
      <c r="D10" s="4">
        <v>5</v>
      </c>
      <c r="E10" s="4" t="s">
        <v>113</v>
      </c>
      <c r="F10" s="4">
        <v>5</v>
      </c>
      <c r="G10" s="4">
        <v>1</v>
      </c>
      <c r="H10" s="4">
        <v>20</v>
      </c>
      <c r="I10" s="4" t="s">
        <v>256</v>
      </c>
      <c r="J10" s="3" t="s">
        <v>667</v>
      </c>
      <c r="K10" s="4" t="s">
        <v>33</v>
      </c>
    </row>
    <row r="11" spans="1:11" x14ac:dyDescent="0.25">
      <c r="A11" s="4" t="s">
        <v>636</v>
      </c>
      <c r="B11" s="4" t="s">
        <v>668</v>
      </c>
      <c r="C11" s="4" t="s">
        <v>669</v>
      </c>
      <c r="D11" s="4">
        <v>3</v>
      </c>
      <c r="E11" s="4" t="s">
        <v>236</v>
      </c>
      <c r="F11" s="4">
        <v>3</v>
      </c>
      <c r="G11" s="4">
        <v>0</v>
      </c>
      <c r="H11" s="4" t="s">
        <v>33</v>
      </c>
      <c r="I11" s="4" t="s">
        <v>256</v>
      </c>
      <c r="J11" s="3" t="s">
        <v>670</v>
      </c>
      <c r="K11" s="4" t="s">
        <v>33</v>
      </c>
    </row>
    <row r="12" spans="1:11" x14ac:dyDescent="0.25">
      <c r="A12" s="4" t="s">
        <v>671</v>
      </c>
      <c r="B12" s="4" t="s">
        <v>672</v>
      </c>
      <c r="C12" s="4" t="s">
        <v>673</v>
      </c>
      <c r="D12" s="4">
        <v>1.302</v>
      </c>
      <c r="E12" s="4" t="s">
        <v>605</v>
      </c>
      <c r="F12" s="4">
        <v>1.302</v>
      </c>
      <c r="G12" s="4">
        <v>1.302</v>
      </c>
      <c r="H12" s="4">
        <v>1.302</v>
      </c>
      <c r="I12" s="4" t="s">
        <v>482</v>
      </c>
      <c r="J12" s="3" t="s">
        <v>674</v>
      </c>
      <c r="K12" s="4" t="s">
        <v>675</v>
      </c>
    </row>
    <row r="13" spans="1:11" x14ac:dyDescent="0.25">
      <c r="A13" s="4" t="s">
        <v>671</v>
      </c>
      <c r="B13" s="3" t="s">
        <v>676</v>
      </c>
      <c r="C13" s="4" t="s">
        <v>677</v>
      </c>
      <c r="D13" s="4">
        <v>0.5</v>
      </c>
      <c r="E13" s="4" t="s">
        <v>595</v>
      </c>
      <c r="F13" s="4">
        <v>0.5</v>
      </c>
      <c r="G13" s="4">
        <v>0.3</v>
      </c>
      <c r="H13" s="4">
        <v>0.7</v>
      </c>
      <c r="I13" s="4" t="s">
        <v>256</v>
      </c>
      <c r="J13" s="3" t="s">
        <v>678</v>
      </c>
      <c r="K13" s="4" t="s">
        <v>33</v>
      </c>
    </row>
    <row r="14" spans="1:11" x14ac:dyDescent="0.25">
      <c r="A14" s="4" t="s">
        <v>671</v>
      </c>
      <c r="B14" s="4" t="s">
        <v>679</v>
      </c>
      <c r="C14" s="4" t="s">
        <v>680</v>
      </c>
      <c r="D14" s="4">
        <v>20</v>
      </c>
      <c r="E14" s="4" t="s">
        <v>113</v>
      </c>
      <c r="F14" s="4">
        <v>20</v>
      </c>
      <c r="G14" s="4">
        <v>10</v>
      </c>
      <c r="H14" s="4">
        <v>40</v>
      </c>
      <c r="I14" s="4" t="s">
        <v>256</v>
      </c>
      <c r="J14" s="3" t="s">
        <v>681</v>
      </c>
      <c r="K14" s="4" t="s">
        <v>33</v>
      </c>
    </row>
    <row r="15" spans="1:11" x14ac:dyDescent="0.25">
      <c r="A15" s="4" t="s">
        <v>671</v>
      </c>
      <c r="B15" s="3" t="s">
        <v>682</v>
      </c>
      <c r="C15" s="4" t="s">
        <v>683</v>
      </c>
      <c r="D15" s="4">
        <v>1973</v>
      </c>
      <c r="E15" s="4" t="s">
        <v>139</v>
      </c>
      <c r="F15" s="4">
        <v>1973</v>
      </c>
      <c r="G15" s="4">
        <v>1800</v>
      </c>
      <c r="H15" s="4">
        <v>2100</v>
      </c>
      <c r="I15" s="4" t="s">
        <v>256</v>
      </c>
      <c r="J15" s="3" t="s">
        <v>684</v>
      </c>
      <c r="K15" s="4" t="s">
        <v>33</v>
      </c>
    </row>
    <row r="16" spans="1:11" x14ac:dyDescent="0.25">
      <c r="A16" s="4" t="s">
        <v>29</v>
      </c>
      <c r="B16" s="4" t="s">
        <v>685</v>
      </c>
      <c r="C16" s="4" t="s">
        <v>686</v>
      </c>
      <c r="D16" s="4">
        <v>0.1</v>
      </c>
      <c r="E16" s="4" t="s">
        <v>595</v>
      </c>
      <c r="F16" s="4">
        <v>0.1</v>
      </c>
      <c r="G16" s="4">
        <v>0.05</v>
      </c>
      <c r="H16" s="4">
        <v>0.2</v>
      </c>
      <c r="I16" s="4" t="s">
        <v>482</v>
      </c>
      <c r="J16" s="3" t="s">
        <v>687</v>
      </c>
      <c r="K16" s="3" t="s">
        <v>688</v>
      </c>
    </row>
    <row r="17" spans="1:11" x14ac:dyDescent="0.25">
      <c r="A17" s="4" t="s">
        <v>29</v>
      </c>
      <c r="B17" s="4" t="s">
        <v>689</v>
      </c>
      <c r="C17" s="4" t="s">
        <v>690</v>
      </c>
      <c r="D17" s="4">
        <v>1000000</v>
      </c>
      <c r="E17" s="4" t="s">
        <v>599</v>
      </c>
      <c r="F17" s="4">
        <v>1000000</v>
      </c>
      <c r="G17" s="4">
        <v>0</v>
      </c>
      <c r="H17" s="4">
        <v>5000000</v>
      </c>
      <c r="I17" s="4" t="s">
        <v>486</v>
      </c>
      <c r="J17" s="3" t="s">
        <v>691</v>
      </c>
      <c r="K17" s="3" t="s">
        <v>692</v>
      </c>
    </row>
    <row r="18" spans="1:11" x14ac:dyDescent="0.25">
      <c r="A18" s="4" t="s">
        <v>29</v>
      </c>
      <c r="B18" s="4" t="s">
        <v>693</v>
      </c>
      <c r="C18" s="4" t="s">
        <v>694</v>
      </c>
      <c r="D18" s="4">
        <v>1250000</v>
      </c>
      <c r="E18" s="4" t="s">
        <v>599</v>
      </c>
      <c r="F18" s="4">
        <v>1250000</v>
      </c>
      <c r="G18" s="4">
        <v>500000</v>
      </c>
      <c r="H18" s="4">
        <v>2000000</v>
      </c>
      <c r="I18" s="4" t="s">
        <v>486</v>
      </c>
      <c r="J18" s="3" t="s">
        <v>695</v>
      </c>
      <c r="K18" s="3" t="s">
        <v>696</v>
      </c>
    </row>
    <row r="19" spans="1:11" x14ac:dyDescent="0.25">
      <c r="A19" s="4" t="s">
        <v>29</v>
      </c>
      <c r="B19" s="4" t="s">
        <v>697</v>
      </c>
      <c r="C19" s="4" t="s">
        <v>698</v>
      </c>
      <c r="D19" s="4">
        <v>100000</v>
      </c>
      <c r="E19" s="4" t="s">
        <v>599</v>
      </c>
      <c r="F19" s="4">
        <v>100000</v>
      </c>
      <c r="G19" s="4">
        <v>0</v>
      </c>
      <c r="H19" s="4">
        <v>1000000</v>
      </c>
      <c r="I19" s="4" t="s">
        <v>486</v>
      </c>
      <c r="J19" s="3" t="s">
        <v>699</v>
      </c>
      <c r="K19" s="3" t="s">
        <v>700</v>
      </c>
    </row>
    <row r="20" spans="1:11" x14ac:dyDescent="0.25">
      <c r="A20" s="4" t="s">
        <v>29</v>
      </c>
      <c r="B20" s="4" t="s">
        <v>701</v>
      </c>
      <c r="C20" s="4" t="s">
        <v>702</v>
      </c>
      <c r="D20" s="4">
        <v>150000</v>
      </c>
      <c r="E20" s="4" t="s">
        <v>599</v>
      </c>
      <c r="F20" s="4">
        <v>150000</v>
      </c>
      <c r="G20" s="4">
        <v>0</v>
      </c>
      <c r="H20" s="4" t="s">
        <v>33</v>
      </c>
      <c r="I20" s="4" t="s">
        <v>256</v>
      </c>
      <c r="J20" s="3" t="s">
        <v>703</v>
      </c>
      <c r="K20" s="4" t="s">
        <v>33</v>
      </c>
    </row>
    <row r="21" spans="1:11" x14ac:dyDescent="0.25">
      <c r="A21" s="4" t="s">
        <v>29</v>
      </c>
      <c r="B21" s="4" t="s">
        <v>704</v>
      </c>
      <c r="C21" s="4" t="s">
        <v>705</v>
      </c>
      <c r="D21" s="4">
        <v>300000</v>
      </c>
      <c r="E21" s="4" t="s">
        <v>599</v>
      </c>
      <c r="F21" s="4">
        <v>300000</v>
      </c>
      <c r="G21" s="4">
        <v>200000</v>
      </c>
      <c r="H21" s="4">
        <v>400000</v>
      </c>
      <c r="I21" s="4" t="s">
        <v>486</v>
      </c>
      <c r="J21" s="3" t="s">
        <v>706</v>
      </c>
      <c r="K21" s="3" t="s">
        <v>707</v>
      </c>
    </row>
    <row r="22" spans="1:11" x14ac:dyDescent="0.25">
      <c r="A22" s="4" t="s">
        <v>29</v>
      </c>
      <c r="B22" s="3" t="s">
        <v>708</v>
      </c>
      <c r="C22" s="4" t="s">
        <v>709</v>
      </c>
      <c r="D22" s="4">
        <v>150</v>
      </c>
      <c r="E22" s="4" t="s">
        <v>710</v>
      </c>
      <c r="F22" s="4">
        <v>150</v>
      </c>
      <c r="G22" s="4">
        <v>0</v>
      </c>
      <c r="H22" s="4" t="s">
        <v>33</v>
      </c>
      <c r="I22" s="4" t="s">
        <v>256</v>
      </c>
      <c r="J22" s="3" t="s">
        <v>711</v>
      </c>
      <c r="K22" s="4" t="s">
        <v>33</v>
      </c>
    </row>
    <row r="23" spans="1:11" x14ac:dyDescent="0.25">
      <c r="A23" s="4" t="s">
        <v>712</v>
      </c>
      <c r="B23" s="3" t="s">
        <v>713</v>
      </c>
      <c r="C23" s="4" t="s">
        <v>714</v>
      </c>
      <c r="D23" s="4">
        <v>0.12</v>
      </c>
      <c r="E23" s="4" t="s">
        <v>601</v>
      </c>
      <c r="F23" s="4">
        <v>0.12</v>
      </c>
      <c r="G23" s="4">
        <v>0.1</v>
      </c>
      <c r="H23" s="4">
        <v>0.24</v>
      </c>
      <c r="I23" s="4" t="s">
        <v>486</v>
      </c>
      <c r="J23" s="3" t="s">
        <v>715</v>
      </c>
      <c r="K23" s="3" t="s">
        <v>716</v>
      </c>
    </row>
    <row r="24" spans="1:11" x14ac:dyDescent="0.25">
      <c r="A24" s="4" t="s">
        <v>712</v>
      </c>
      <c r="B24" s="3" t="s">
        <v>717</v>
      </c>
      <c r="C24" s="4" t="s">
        <v>718</v>
      </c>
      <c r="D24" s="4">
        <v>0.02</v>
      </c>
      <c r="E24" s="4" t="s">
        <v>601</v>
      </c>
      <c r="F24" s="4">
        <v>0.02</v>
      </c>
      <c r="G24" s="4">
        <v>0</v>
      </c>
      <c r="H24" s="4">
        <v>0.05</v>
      </c>
      <c r="I24" s="4" t="s">
        <v>256</v>
      </c>
      <c r="J24" s="3" t="s">
        <v>719</v>
      </c>
      <c r="K24" s="4" t="s">
        <v>33</v>
      </c>
    </row>
    <row r="25" spans="1:11" x14ac:dyDescent="0.25">
      <c r="A25" s="4" t="s">
        <v>712</v>
      </c>
      <c r="B25" s="4" t="s">
        <v>720</v>
      </c>
      <c r="C25" s="4" t="s">
        <v>721</v>
      </c>
      <c r="D25" s="4">
        <v>0.01</v>
      </c>
      <c r="E25" s="4" t="s">
        <v>601</v>
      </c>
      <c r="F25" s="4">
        <v>0.01</v>
      </c>
      <c r="G25" s="4">
        <v>0</v>
      </c>
      <c r="H25" s="4">
        <v>0.03</v>
      </c>
      <c r="I25" s="4" t="s">
        <v>256</v>
      </c>
      <c r="J25" s="3" t="s">
        <v>722</v>
      </c>
      <c r="K25" s="4" t="s">
        <v>33</v>
      </c>
    </row>
    <row r="26" spans="1:11" x14ac:dyDescent="0.25">
      <c r="A26" s="4" t="s">
        <v>712</v>
      </c>
      <c r="B26" s="4" t="s">
        <v>723</v>
      </c>
      <c r="C26" s="4" t="s">
        <v>724</v>
      </c>
      <c r="D26" s="4">
        <v>4</v>
      </c>
      <c r="E26" s="4" t="s">
        <v>250</v>
      </c>
      <c r="F26" s="4">
        <v>4</v>
      </c>
      <c r="G26" s="4">
        <v>3</v>
      </c>
      <c r="H26" s="4">
        <v>5</v>
      </c>
      <c r="I26" s="4" t="s">
        <v>482</v>
      </c>
      <c r="J26" s="3" t="s">
        <v>725</v>
      </c>
      <c r="K26" s="3" t="s">
        <v>726</v>
      </c>
    </row>
    <row r="27" spans="1:11" x14ac:dyDescent="0.25">
      <c r="A27" s="4" t="s">
        <v>712</v>
      </c>
      <c r="B27" s="3" t="s">
        <v>727</v>
      </c>
      <c r="C27" s="4" t="s">
        <v>728</v>
      </c>
      <c r="D27" s="4">
        <v>0.1</v>
      </c>
      <c r="E27" s="4" t="s">
        <v>595</v>
      </c>
      <c r="F27" s="4">
        <v>0.1</v>
      </c>
      <c r="G27" s="4">
        <v>0.05</v>
      </c>
      <c r="H27" s="4">
        <v>0.2</v>
      </c>
      <c r="I27" s="4" t="s">
        <v>256</v>
      </c>
      <c r="J27" s="3" t="s">
        <v>729</v>
      </c>
      <c r="K27" s="4" t="s">
        <v>33</v>
      </c>
    </row>
    <row r="28" spans="1:11" x14ac:dyDescent="0.25">
      <c r="A28" s="4" t="s">
        <v>712</v>
      </c>
      <c r="B28" s="3" t="s">
        <v>730</v>
      </c>
      <c r="C28" s="4" t="s">
        <v>731</v>
      </c>
      <c r="D28" s="4">
        <v>0.4</v>
      </c>
      <c r="E28" s="4" t="s">
        <v>236</v>
      </c>
      <c r="F28" s="4">
        <v>0.4</v>
      </c>
      <c r="G28" s="4">
        <v>0</v>
      </c>
      <c r="H28" s="4" t="s">
        <v>33</v>
      </c>
      <c r="I28" s="4" t="s">
        <v>256</v>
      </c>
      <c r="J28" s="3" t="s">
        <v>732</v>
      </c>
      <c r="K28" s="4" t="s">
        <v>33</v>
      </c>
    </row>
    <row r="29" spans="1:11" x14ac:dyDescent="0.25">
      <c r="A29" s="4" t="s">
        <v>712</v>
      </c>
      <c r="B29" s="4" t="s">
        <v>733</v>
      </c>
      <c r="C29" s="4" t="s">
        <v>734</v>
      </c>
      <c r="D29" s="4">
        <v>9</v>
      </c>
      <c r="E29" s="4" t="s">
        <v>735</v>
      </c>
      <c r="F29" s="4">
        <v>9</v>
      </c>
      <c r="G29" s="4">
        <v>0</v>
      </c>
      <c r="H29" s="4" t="s">
        <v>33</v>
      </c>
      <c r="I29" s="4" t="s">
        <v>256</v>
      </c>
      <c r="J29" s="3" t="s">
        <v>736</v>
      </c>
      <c r="K29" s="4" t="s">
        <v>33</v>
      </c>
    </row>
    <row r="30" spans="1:11" x14ac:dyDescent="0.25">
      <c r="A30" s="4" t="s">
        <v>712</v>
      </c>
      <c r="B30" s="4" t="s">
        <v>737</v>
      </c>
      <c r="C30" s="4" t="s">
        <v>738</v>
      </c>
      <c r="D30" s="4">
        <v>12000</v>
      </c>
      <c r="E30" s="4" t="s">
        <v>603</v>
      </c>
      <c r="F30" s="4">
        <v>12000</v>
      </c>
      <c r="G30" s="4">
        <v>0</v>
      </c>
      <c r="H30" s="4" t="s">
        <v>33</v>
      </c>
      <c r="I30" s="4" t="s">
        <v>256</v>
      </c>
      <c r="J30" s="3" t="s">
        <v>739</v>
      </c>
      <c r="K30" s="4" t="s">
        <v>33</v>
      </c>
    </row>
    <row r="31" spans="1:11" x14ac:dyDescent="0.25">
      <c r="A31" s="4" t="s">
        <v>712</v>
      </c>
      <c r="B31" s="3" t="s">
        <v>740</v>
      </c>
      <c r="C31" s="4" t="s">
        <v>741</v>
      </c>
      <c r="D31" s="4">
        <v>0.052</v>
      </c>
      <c r="E31" s="4" t="s">
        <v>742</v>
      </c>
      <c r="F31" s="4">
        <v>0.052</v>
      </c>
      <c r="G31" s="4">
        <v>0.037</v>
      </c>
      <c r="H31" s="4">
        <v>0.067</v>
      </c>
      <c r="I31" s="4" t="s">
        <v>264</v>
      </c>
      <c r="J31" s="3" t="s">
        <v>743</v>
      </c>
      <c r="K31" s="3" t="s">
        <v>744</v>
      </c>
    </row>
    <row r="32" spans="1:11" x14ac:dyDescent="0.25">
      <c r="A32" s="4" t="s">
        <v>745</v>
      </c>
      <c r="B32" s="4" t="s">
        <v>550</v>
      </c>
      <c r="C32" s="4" t="s">
        <v>746</v>
      </c>
      <c r="D32" s="4">
        <v>0.12</v>
      </c>
      <c r="E32" s="4" t="s">
        <v>601</v>
      </c>
      <c r="F32" s="4">
        <v>0.12</v>
      </c>
      <c r="G32" s="4">
        <v>0.08</v>
      </c>
      <c r="H32" s="4">
        <v>0.2</v>
      </c>
      <c r="I32" s="4" t="s">
        <v>747</v>
      </c>
      <c r="J32" s="3" t="s">
        <v>748</v>
      </c>
      <c r="K32" s="4" t="s">
        <v>33</v>
      </c>
    </row>
    <row r="33" spans="1:11" x14ac:dyDescent="0.25">
      <c r="A33" s="4" t="s">
        <v>745</v>
      </c>
      <c r="B33" s="3" t="s">
        <v>749</v>
      </c>
      <c r="C33" s="4" t="s">
        <v>750</v>
      </c>
      <c r="D33" s="4">
        <v>7</v>
      </c>
      <c r="E33" s="4" t="s">
        <v>250</v>
      </c>
      <c r="F33" s="4">
        <v>7</v>
      </c>
      <c r="G33" s="4">
        <v>5</v>
      </c>
      <c r="H33" s="4">
        <v>10</v>
      </c>
      <c r="I33" s="4" t="s">
        <v>256</v>
      </c>
      <c r="J33" s="3" t="s">
        <v>751</v>
      </c>
      <c r="K33" s="4" t="s">
        <v>33</v>
      </c>
    </row>
    <row r="34" spans="1:11" x14ac:dyDescent="0.25">
      <c r="A34" s="4" t="s">
        <v>745</v>
      </c>
      <c r="B34" s="4" t="s">
        <v>752</v>
      </c>
      <c r="C34" s="4" t="s">
        <v>753</v>
      </c>
      <c r="D34" s="4">
        <v>5</v>
      </c>
      <c r="E34" s="4" t="s">
        <v>250</v>
      </c>
      <c r="F34" s="4">
        <v>5</v>
      </c>
      <c r="G34" s="4">
        <v>5</v>
      </c>
      <c r="H34" s="4">
        <v>30</v>
      </c>
      <c r="I34" s="4" t="s">
        <v>754</v>
      </c>
      <c r="J34" s="3" t="s">
        <v>755</v>
      </c>
      <c r="K34" s="4" t="s">
        <v>756</v>
      </c>
    </row>
    <row r="35" spans="1:11" x14ac:dyDescent="0.25">
      <c r="A35" s="4" t="s">
        <v>36</v>
      </c>
      <c r="B35" s="4" t="s">
        <v>757</v>
      </c>
      <c r="C35" s="4" t="s">
        <v>758</v>
      </c>
      <c r="D35" s="4">
        <v>3</v>
      </c>
      <c r="E35" s="4" t="s">
        <v>250</v>
      </c>
      <c r="F35" s="4">
        <v>3</v>
      </c>
      <c r="G35" s="4">
        <v>0</v>
      </c>
      <c r="H35" s="4" t="s">
        <v>33</v>
      </c>
      <c r="I35" s="4" t="s">
        <v>754</v>
      </c>
      <c r="J35" s="3" t="s">
        <v>759</v>
      </c>
      <c r="K35" s="4" t="s">
        <v>760</v>
      </c>
    </row>
    <row r="36" spans="1:11" x14ac:dyDescent="0.25">
      <c r="A36" s="4" t="s">
        <v>36</v>
      </c>
      <c r="B36" s="4" t="s">
        <v>761</v>
      </c>
      <c r="C36" s="4" t="s">
        <v>762</v>
      </c>
      <c r="D36" s="4">
        <v>5</v>
      </c>
      <c r="E36" s="4" t="s">
        <v>250</v>
      </c>
      <c r="F36" s="4">
        <v>5</v>
      </c>
      <c r="G36" s="4">
        <v>0</v>
      </c>
      <c r="H36" s="4" t="s">
        <v>33</v>
      </c>
      <c r="I36" s="4" t="s">
        <v>754</v>
      </c>
      <c r="J36" s="3" t="s">
        <v>763</v>
      </c>
      <c r="K36" s="4" t="s">
        <v>760</v>
      </c>
    </row>
    <row r="37" spans="1:11" x14ac:dyDescent="0.25">
      <c r="A37" s="4" t="s">
        <v>36</v>
      </c>
      <c r="B37" s="3" t="s">
        <v>764</v>
      </c>
      <c r="C37" s="4" t="s">
        <v>765</v>
      </c>
      <c r="D37" s="4">
        <v>0.2</v>
      </c>
      <c r="E37" s="4" t="s">
        <v>595</v>
      </c>
      <c r="F37" s="4">
        <v>0.2</v>
      </c>
      <c r="G37" s="4">
        <v>0</v>
      </c>
      <c r="H37" s="4">
        <v>1</v>
      </c>
      <c r="I37" s="4" t="s">
        <v>747</v>
      </c>
      <c r="J37" s="3" t="s">
        <v>766</v>
      </c>
      <c r="K37" s="4" t="s">
        <v>33</v>
      </c>
    </row>
    <row r="38" spans="1:11" x14ac:dyDescent="0.25">
      <c r="A38" s="4" t="s">
        <v>47</v>
      </c>
      <c r="B38" s="3" t="s">
        <v>767</v>
      </c>
      <c r="C38" s="4" t="s">
        <v>768</v>
      </c>
      <c r="D38" s="4">
        <v>0.97</v>
      </c>
      <c r="E38" s="4" t="s">
        <v>595</v>
      </c>
      <c r="F38" s="4">
        <v>0.97</v>
      </c>
      <c r="G38" s="4">
        <v>0</v>
      </c>
      <c r="H38" s="4">
        <v>1</v>
      </c>
      <c r="I38" s="4" t="s">
        <v>256</v>
      </c>
      <c r="J38" s="3" t="s">
        <v>769</v>
      </c>
      <c r="K38" s="4" t="s">
        <v>33</v>
      </c>
    </row>
    <row r="39" spans="1:11" x14ac:dyDescent="0.25">
      <c r="A39" s="4" t="s">
        <v>47</v>
      </c>
      <c r="B39" s="3" t="s">
        <v>770</v>
      </c>
      <c r="C39" s="4" t="s">
        <v>771</v>
      </c>
      <c r="D39" s="4">
        <v>10</v>
      </c>
      <c r="E39" s="4" t="s">
        <v>772</v>
      </c>
      <c r="F39" s="4">
        <v>10</v>
      </c>
      <c r="G39" s="4">
        <v>0</v>
      </c>
      <c r="H39" s="4" t="s">
        <v>33</v>
      </c>
      <c r="I39" s="4" t="s">
        <v>256</v>
      </c>
      <c r="J39" s="3" t="s">
        <v>773</v>
      </c>
      <c r="K39" s="4" t="s">
        <v>33</v>
      </c>
    </row>
    <row r="40" spans="1:11" x14ac:dyDescent="0.25">
      <c r="A40" s="4" t="s">
        <v>47</v>
      </c>
      <c r="B40" s="4" t="s">
        <v>774</v>
      </c>
      <c r="C40" s="4" t="s">
        <v>775</v>
      </c>
      <c r="D40" s="4">
        <v>0.4</v>
      </c>
      <c r="E40" s="4" t="s">
        <v>595</v>
      </c>
      <c r="F40" s="4">
        <v>0.4</v>
      </c>
      <c r="G40" s="4">
        <v>0</v>
      </c>
      <c r="H40" s="4">
        <v>1</v>
      </c>
      <c r="I40" s="4" t="s">
        <v>256</v>
      </c>
      <c r="J40" s="3" t="s">
        <v>776</v>
      </c>
      <c r="K40" s="4" t="s">
        <v>33</v>
      </c>
    </row>
    <row r="41" spans="1:11" x14ac:dyDescent="0.25">
      <c r="A41" s="4" t="s">
        <v>47</v>
      </c>
      <c r="B41" s="4" t="s">
        <v>777</v>
      </c>
      <c r="C41" s="4" t="s">
        <v>778</v>
      </c>
      <c r="D41" s="4">
        <v>15</v>
      </c>
      <c r="E41" s="4" t="s">
        <v>772</v>
      </c>
      <c r="F41" s="4">
        <v>15</v>
      </c>
      <c r="G41" s="4">
        <v>0</v>
      </c>
      <c r="H41" s="4">
        <v>60</v>
      </c>
      <c r="I41" s="4" t="s">
        <v>256</v>
      </c>
      <c r="J41" s="3" t="s">
        <v>779</v>
      </c>
      <c r="K41" s="4" t="s">
        <v>33</v>
      </c>
    </row>
    <row r="42" spans="1:11" x14ac:dyDescent="0.25">
      <c r="A42" s="4" t="s">
        <v>47</v>
      </c>
      <c r="B42" s="4" t="s">
        <v>780</v>
      </c>
      <c r="C42" s="4" t="s">
        <v>781</v>
      </c>
      <c r="D42" s="4">
        <v>120</v>
      </c>
      <c r="E42" s="4" t="s">
        <v>772</v>
      </c>
      <c r="F42" s="4">
        <v>120</v>
      </c>
      <c r="G42" s="4">
        <v>30</v>
      </c>
      <c r="H42" s="4">
        <v>480</v>
      </c>
      <c r="I42" s="4" t="s">
        <v>256</v>
      </c>
      <c r="J42" s="3" t="s">
        <v>782</v>
      </c>
      <c r="K42" s="4" t="s">
        <v>33</v>
      </c>
    </row>
    <row r="43" spans="1:11" x14ac:dyDescent="0.25">
      <c r="A43" s="4" t="s">
        <v>47</v>
      </c>
      <c r="B43" s="3" t="s">
        <v>783</v>
      </c>
      <c r="C43" s="4" t="s">
        <v>784</v>
      </c>
      <c r="D43" s="4">
        <v>0.2</v>
      </c>
      <c r="E43" s="4" t="s">
        <v>595</v>
      </c>
      <c r="F43" s="4">
        <v>0.2</v>
      </c>
      <c r="G43" s="4">
        <v>0</v>
      </c>
      <c r="H43" s="4">
        <v>0.95</v>
      </c>
      <c r="I43" s="4" t="s">
        <v>256</v>
      </c>
      <c r="J43" s="3" t="s">
        <v>785</v>
      </c>
      <c r="K43" s="4" t="s">
        <v>33</v>
      </c>
    </row>
    <row r="44" spans="1:11" x14ac:dyDescent="0.25">
      <c r="A44" s="4" t="s">
        <v>47</v>
      </c>
      <c r="B44" s="3" t="s">
        <v>786</v>
      </c>
      <c r="C44" s="4" t="s">
        <v>787</v>
      </c>
      <c r="D44" s="4">
        <v>0.9</v>
      </c>
      <c r="E44" s="4" t="s">
        <v>595</v>
      </c>
      <c r="F44" s="4">
        <v>0.9</v>
      </c>
      <c r="G44" s="4">
        <v>0.05</v>
      </c>
      <c r="H44" s="4">
        <v>1</v>
      </c>
      <c r="I44" s="4" t="s">
        <v>256</v>
      </c>
      <c r="J44" s="3" t="s">
        <v>788</v>
      </c>
      <c r="K44" s="4" t="s">
        <v>33</v>
      </c>
    </row>
    <row r="45" spans="1:11" x14ac:dyDescent="0.25">
      <c r="A45" s="4" t="s">
        <v>789</v>
      </c>
      <c r="B45" s="4" t="s">
        <v>790</v>
      </c>
      <c r="C45" s="4" t="s">
        <v>791</v>
      </c>
      <c r="D45" s="4">
        <v>0.4</v>
      </c>
      <c r="E45" s="4" t="s">
        <v>595</v>
      </c>
      <c r="F45" s="4">
        <v>0.4</v>
      </c>
      <c r="G45" s="4">
        <v>0</v>
      </c>
      <c r="H45" s="4">
        <v>1</v>
      </c>
      <c r="I45" s="4" t="s">
        <v>747</v>
      </c>
      <c r="J45" s="3" t="s">
        <v>792</v>
      </c>
      <c r="K45" s="4" t="s">
        <v>33</v>
      </c>
    </row>
    <row r="46" spans="1:11" x14ac:dyDescent="0.25">
      <c r="A46" s="4" t="s">
        <v>789</v>
      </c>
      <c r="B46" s="4" t="s">
        <v>793</v>
      </c>
      <c r="C46" s="4" t="s">
        <v>794</v>
      </c>
      <c r="D46" s="4">
        <v>0.2</v>
      </c>
      <c r="E46" s="4" t="s">
        <v>595</v>
      </c>
      <c r="F46" s="4">
        <v>0.2</v>
      </c>
      <c r="G46" s="4">
        <v>0</v>
      </c>
      <c r="H46" s="4">
        <v>1</v>
      </c>
      <c r="I46" s="4" t="s">
        <v>747</v>
      </c>
      <c r="J46" s="3" t="s">
        <v>795</v>
      </c>
      <c r="K46" s="4" t="s">
        <v>33</v>
      </c>
    </row>
    <row r="47" spans="1:11" x14ac:dyDescent="0.25">
      <c r="A47" s="4" t="s">
        <v>789</v>
      </c>
      <c r="B47" s="4" t="s">
        <v>796</v>
      </c>
      <c r="C47" s="4" t="s">
        <v>797</v>
      </c>
      <c r="D47" s="4">
        <v>0.15</v>
      </c>
      <c r="E47" s="4" t="s">
        <v>595</v>
      </c>
      <c r="F47" s="4">
        <v>0.15</v>
      </c>
      <c r="G47" s="4">
        <v>0</v>
      </c>
      <c r="H47" s="4">
        <v>1</v>
      </c>
      <c r="I47" s="4" t="s">
        <v>747</v>
      </c>
      <c r="J47" s="3" t="s">
        <v>798</v>
      </c>
      <c r="K47" s="4" t="s">
        <v>33</v>
      </c>
    </row>
    <row r="48" spans="1:11" x14ac:dyDescent="0.25">
      <c r="A48" s="4" t="s">
        <v>789</v>
      </c>
      <c r="B48" s="4" t="s">
        <v>799</v>
      </c>
      <c r="C48" s="4" t="s">
        <v>800</v>
      </c>
      <c r="D48" s="4">
        <v>0.15</v>
      </c>
      <c r="E48" s="4" t="s">
        <v>595</v>
      </c>
      <c r="F48" s="4">
        <v>0.15</v>
      </c>
      <c r="G48" s="4">
        <v>0</v>
      </c>
      <c r="H48" s="4">
        <v>1</v>
      </c>
      <c r="I48" s="4" t="s">
        <v>747</v>
      </c>
      <c r="J48" s="3" t="s">
        <v>801</v>
      </c>
      <c r="K48" s="4" t="s">
        <v>33</v>
      </c>
    </row>
    <row r="49" spans="1:11" x14ac:dyDescent="0.25">
      <c r="A49" s="4" t="s">
        <v>789</v>
      </c>
      <c r="B49" s="4" t="s">
        <v>802</v>
      </c>
      <c r="C49" s="4" t="s">
        <v>803</v>
      </c>
      <c r="D49" s="4">
        <v>0.1</v>
      </c>
      <c r="E49" s="4" t="s">
        <v>595</v>
      </c>
      <c r="F49" s="4">
        <v>0.1</v>
      </c>
      <c r="G49" s="4">
        <v>0</v>
      </c>
      <c r="H49" s="4">
        <v>1</v>
      </c>
      <c r="I49" s="4" t="s">
        <v>747</v>
      </c>
      <c r="J49" s="3" t="s">
        <v>804</v>
      </c>
      <c r="K49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30" customWidth="1"/>
    <col min="4" max="4" width="20" customWidth="1"/>
    <col min="5" max="6" width="13" customWidth="1"/>
    <col min="7" max="7" width="60" customWidth="1"/>
    <col min="8" max="8" width="50" customWidth="1"/>
  </cols>
  <sheetData>
    <row r="1" spans="1:8" x14ac:dyDescent="0.25">
      <c r="A1" s="6" t="s">
        <v>280</v>
      </c>
      <c r="B1" s="6" t="s">
        <v>805</v>
      </c>
      <c r="C1" s="6" t="s">
        <v>93</v>
      </c>
      <c r="D1" s="6" t="s">
        <v>477</v>
      </c>
      <c r="E1" s="6" t="s">
        <v>806</v>
      </c>
      <c r="F1" s="6" t="s">
        <v>807</v>
      </c>
      <c r="G1" s="6" t="s">
        <v>808</v>
      </c>
      <c r="H1" s="6" t="s">
        <v>809</v>
      </c>
    </row>
    <row r="2" spans="1:8" x14ac:dyDescent="0.25">
      <c r="A2" s="3" t="s">
        <v>289</v>
      </c>
      <c r="B2" s="4" t="s">
        <v>810</v>
      </c>
      <c r="C2" s="4" t="s">
        <v>811</v>
      </c>
      <c r="D2" s="4" t="s">
        <v>482</v>
      </c>
      <c r="E2" s="4" t="s">
        <v>50</v>
      </c>
      <c r="F2" s="4" t="s">
        <v>812</v>
      </c>
      <c r="G2" s="4" t="s">
        <v>33</v>
      </c>
      <c r="H2" s="4" t="s">
        <v>813</v>
      </c>
    </row>
    <row r="3" spans="1:8" x14ac:dyDescent="0.25">
      <c r="A3" s="3" t="s">
        <v>289</v>
      </c>
      <c r="B3" s="4" t="s">
        <v>814</v>
      </c>
      <c r="C3" s="3" t="s">
        <v>289</v>
      </c>
      <c r="D3" s="4" t="s">
        <v>482</v>
      </c>
      <c r="E3" s="4" t="s">
        <v>50</v>
      </c>
      <c r="F3" s="4" t="s">
        <v>812</v>
      </c>
      <c r="G3" s="4" t="s">
        <v>33</v>
      </c>
      <c r="H3" s="4" t="s">
        <v>813</v>
      </c>
    </row>
    <row r="4" spans="1:8" x14ac:dyDescent="0.25">
      <c r="A4" s="3" t="s">
        <v>289</v>
      </c>
      <c r="B4" s="4" t="s">
        <v>815</v>
      </c>
      <c r="C4" s="4" t="s">
        <v>816</v>
      </c>
      <c r="D4" s="4" t="s">
        <v>747</v>
      </c>
      <c r="E4" s="4" t="s">
        <v>50</v>
      </c>
      <c r="F4" s="4" t="s">
        <v>817</v>
      </c>
      <c r="G4" s="4" t="s">
        <v>33</v>
      </c>
      <c r="H4" s="4" t="s">
        <v>33</v>
      </c>
    </row>
    <row r="5" spans="1:8" x14ac:dyDescent="0.25">
      <c r="A5" s="3" t="s">
        <v>289</v>
      </c>
      <c r="B5" s="4" t="s">
        <v>818</v>
      </c>
      <c r="C5" s="3" t="s">
        <v>819</v>
      </c>
      <c r="D5" s="4" t="s">
        <v>482</v>
      </c>
      <c r="E5" s="4" t="s">
        <v>50</v>
      </c>
      <c r="F5" s="4" t="s">
        <v>812</v>
      </c>
      <c r="G5" s="4" t="s">
        <v>33</v>
      </c>
      <c r="H5" s="4" t="s">
        <v>813</v>
      </c>
    </row>
    <row r="6" spans="1:8" x14ac:dyDescent="0.25">
      <c r="A6" s="3" t="s">
        <v>289</v>
      </c>
      <c r="B6" s="4" t="s">
        <v>820</v>
      </c>
      <c r="C6" s="4" t="s">
        <v>821</v>
      </c>
      <c r="D6" s="4" t="s">
        <v>486</v>
      </c>
      <c r="E6" s="4" t="s">
        <v>291</v>
      </c>
      <c r="F6" s="4" t="s">
        <v>817</v>
      </c>
      <c r="G6" s="4" t="s">
        <v>822</v>
      </c>
      <c r="H6" s="4" t="s">
        <v>33</v>
      </c>
    </row>
    <row r="7" spans="1:8" x14ac:dyDescent="0.25">
      <c r="A7" s="3" t="s">
        <v>289</v>
      </c>
      <c r="B7" s="4" t="s">
        <v>823</v>
      </c>
      <c r="C7" s="4" t="s">
        <v>824</v>
      </c>
      <c r="D7" s="4" t="s">
        <v>482</v>
      </c>
      <c r="E7" s="4" t="s">
        <v>50</v>
      </c>
      <c r="F7" s="4" t="s">
        <v>812</v>
      </c>
      <c r="G7" s="4" t="s">
        <v>33</v>
      </c>
      <c r="H7" s="4" t="s">
        <v>813</v>
      </c>
    </row>
    <row r="8" spans="1:8" x14ac:dyDescent="0.25">
      <c r="A8" s="3" t="s">
        <v>289</v>
      </c>
      <c r="B8" s="4" t="s">
        <v>825</v>
      </c>
      <c r="C8" s="4" t="s">
        <v>826</v>
      </c>
      <c r="D8" s="4" t="s">
        <v>482</v>
      </c>
      <c r="E8" s="4" t="s">
        <v>50</v>
      </c>
      <c r="F8" s="4" t="s">
        <v>812</v>
      </c>
      <c r="G8" s="4" t="s">
        <v>33</v>
      </c>
      <c r="H8" s="3" t="s">
        <v>827</v>
      </c>
    </row>
    <row r="9" spans="1:8" x14ac:dyDescent="0.25">
      <c r="A9" s="3" t="s">
        <v>289</v>
      </c>
      <c r="B9" s="4" t="s">
        <v>828</v>
      </c>
      <c r="C9" s="4" t="s">
        <v>829</v>
      </c>
      <c r="D9" s="4" t="s">
        <v>482</v>
      </c>
      <c r="E9" s="4" t="s">
        <v>50</v>
      </c>
      <c r="F9" s="4" t="s">
        <v>812</v>
      </c>
      <c r="G9" s="4" t="s">
        <v>33</v>
      </c>
      <c r="H9" s="3" t="s">
        <v>827</v>
      </c>
    </row>
    <row r="10" spans="1:8" x14ac:dyDescent="0.25">
      <c r="A10" s="3" t="s">
        <v>289</v>
      </c>
      <c r="B10" s="4" t="s">
        <v>830</v>
      </c>
      <c r="C10" s="4" t="s">
        <v>831</v>
      </c>
      <c r="D10" s="4" t="s">
        <v>482</v>
      </c>
      <c r="E10" s="4" t="s">
        <v>291</v>
      </c>
      <c r="F10" s="4" t="s">
        <v>812</v>
      </c>
      <c r="G10" s="4" t="s">
        <v>33</v>
      </c>
      <c r="H10" s="3" t="s">
        <v>827</v>
      </c>
    </row>
    <row r="11" spans="1:8" x14ac:dyDescent="0.25">
      <c r="A11" s="3" t="s">
        <v>289</v>
      </c>
      <c r="B11" s="4" t="s">
        <v>832</v>
      </c>
      <c r="C11" s="4" t="s">
        <v>833</v>
      </c>
      <c r="D11" s="4" t="s">
        <v>482</v>
      </c>
      <c r="E11" s="4" t="s">
        <v>50</v>
      </c>
      <c r="F11" s="4" t="s">
        <v>812</v>
      </c>
      <c r="G11" s="4" t="s">
        <v>33</v>
      </c>
      <c r="H11" s="3" t="s">
        <v>827</v>
      </c>
    </row>
    <row r="12" spans="1:8" x14ac:dyDescent="0.25">
      <c r="A12" s="3" t="s">
        <v>289</v>
      </c>
      <c r="B12" s="4" t="s">
        <v>834</v>
      </c>
      <c r="C12" s="4" t="s">
        <v>835</v>
      </c>
      <c r="D12" s="4" t="s">
        <v>482</v>
      </c>
      <c r="E12" s="4" t="s">
        <v>50</v>
      </c>
      <c r="F12" s="4" t="s">
        <v>812</v>
      </c>
      <c r="G12" s="4" t="s">
        <v>33</v>
      </c>
      <c r="H12" s="3" t="s">
        <v>827</v>
      </c>
    </row>
    <row r="13" spans="1:8" x14ac:dyDescent="0.25">
      <c r="A13" s="3" t="s">
        <v>289</v>
      </c>
      <c r="B13" s="4" t="s">
        <v>836</v>
      </c>
      <c r="C13" s="4" t="s">
        <v>837</v>
      </c>
      <c r="D13" s="4" t="s">
        <v>482</v>
      </c>
      <c r="E13" s="4" t="s">
        <v>50</v>
      </c>
      <c r="F13" s="4" t="s">
        <v>812</v>
      </c>
      <c r="G13" s="4" t="s">
        <v>33</v>
      </c>
      <c r="H13" s="3" t="s">
        <v>827</v>
      </c>
    </row>
    <row r="14" spans="1:8" x14ac:dyDescent="0.25">
      <c r="A14" s="3" t="s">
        <v>289</v>
      </c>
      <c r="B14" s="4" t="s">
        <v>838</v>
      </c>
      <c r="C14" s="4" t="s">
        <v>839</v>
      </c>
      <c r="D14" s="4" t="s">
        <v>482</v>
      </c>
      <c r="E14" s="4" t="s">
        <v>50</v>
      </c>
      <c r="F14" s="4" t="s">
        <v>812</v>
      </c>
      <c r="G14" s="4" t="s">
        <v>33</v>
      </c>
      <c r="H14" s="3" t="s">
        <v>827</v>
      </c>
    </row>
    <row r="15" spans="1:8" x14ac:dyDescent="0.25">
      <c r="A15" s="3" t="s">
        <v>289</v>
      </c>
      <c r="B15" s="4" t="s">
        <v>840</v>
      </c>
      <c r="C15" s="4" t="s">
        <v>841</v>
      </c>
      <c r="D15" s="4" t="s">
        <v>482</v>
      </c>
      <c r="E15" s="4" t="s">
        <v>50</v>
      </c>
      <c r="F15" s="4" t="s">
        <v>812</v>
      </c>
      <c r="G15" s="4" t="s">
        <v>33</v>
      </c>
      <c r="H15" s="3" t="s">
        <v>827</v>
      </c>
    </row>
    <row r="16" spans="1:8" x14ac:dyDescent="0.25">
      <c r="A16" s="3" t="s">
        <v>289</v>
      </c>
      <c r="B16" s="4" t="s">
        <v>842</v>
      </c>
      <c r="C16" s="4" t="s">
        <v>843</v>
      </c>
      <c r="D16" s="4" t="s">
        <v>482</v>
      </c>
      <c r="E16" s="4" t="s">
        <v>50</v>
      </c>
      <c r="F16" s="4" t="s">
        <v>812</v>
      </c>
      <c r="G16" s="4" t="s">
        <v>33</v>
      </c>
      <c r="H16" s="3" t="s">
        <v>827</v>
      </c>
    </row>
    <row r="17" spans="1:8" x14ac:dyDescent="0.25">
      <c r="A17" s="3" t="s">
        <v>289</v>
      </c>
      <c r="B17" s="4" t="s">
        <v>844</v>
      </c>
      <c r="C17" s="4" t="s">
        <v>845</v>
      </c>
      <c r="D17" s="4" t="s">
        <v>482</v>
      </c>
      <c r="E17" s="4" t="s">
        <v>50</v>
      </c>
      <c r="F17" s="4" t="s">
        <v>812</v>
      </c>
      <c r="G17" s="4" t="s">
        <v>33</v>
      </c>
      <c r="H17" s="3" t="s">
        <v>827</v>
      </c>
    </row>
    <row r="18" spans="1:8" x14ac:dyDescent="0.25">
      <c r="A18" s="3" t="s">
        <v>289</v>
      </c>
      <c r="B18" s="4" t="s">
        <v>846</v>
      </c>
      <c r="C18" s="4" t="s">
        <v>847</v>
      </c>
      <c r="D18" s="4" t="s">
        <v>482</v>
      </c>
      <c r="E18" s="4" t="s">
        <v>50</v>
      </c>
      <c r="F18" s="4" t="s">
        <v>812</v>
      </c>
      <c r="G18" s="4" t="s">
        <v>33</v>
      </c>
      <c r="H18" s="3" t="s">
        <v>827</v>
      </c>
    </row>
    <row r="19" spans="1:8" x14ac:dyDescent="0.25">
      <c r="A19" s="3" t="s">
        <v>289</v>
      </c>
      <c r="B19" s="4" t="s">
        <v>848</v>
      </c>
      <c r="C19" s="3" t="s">
        <v>849</v>
      </c>
      <c r="D19" s="4" t="s">
        <v>486</v>
      </c>
      <c r="E19" s="4" t="s">
        <v>291</v>
      </c>
      <c r="F19" s="4" t="s">
        <v>817</v>
      </c>
      <c r="G19" s="4" t="s">
        <v>850</v>
      </c>
      <c r="H19" s="4" t="s">
        <v>33</v>
      </c>
    </row>
    <row r="20" spans="1:8" x14ac:dyDescent="0.25">
      <c r="A20" s="3" t="s">
        <v>289</v>
      </c>
      <c r="B20" s="4" t="s">
        <v>851</v>
      </c>
      <c r="C20" s="4" t="s">
        <v>852</v>
      </c>
      <c r="D20" s="4" t="s">
        <v>486</v>
      </c>
      <c r="E20" s="4" t="s">
        <v>291</v>
      </c>
      <c r="F20" s="4" t="s">
        <v>817</v>
      </c>
      <c r="G20" s="4" t="s">
        <v>822</v>
      </c>
      <c r="H20" s="4" t="s">
        <v>33</v>
      </c>
    </row>
    <row r="21" spans="1:8" x14ac:dyDescent="0.25">
      <c r="A21" s="3" t="s">
        <v>289</v>
      </c>
      <c r="B21" s="4" t="s">
        <v>853</v>
      </c>
      <c r="C21" s="4" t="s">
        <v>854</v>
      </c>
      <c r="D21" s="4" t="s">
        <v>482</v>
      </c>
      <c r="E21" s="4" t="s">
        <v>50</v>
      </c>
      <c r="F21" s="4" t="s">
        <v>812</v>
      </c>
      <c r="G21" s="4" t="s">
        <v>33</v>
      </c>
      <c r="H21" s="3" t="s">
        <v>827</v>
      </c>
    </row>
    <row r="22" spans="1:8" x14ac:dyDescent="0.25">
      <c r="A22" s="3" t="s">
        <v>289</v>
      </c>
      <c r="B22" s="4" t="s">
        <v>855</v>
      </c>
      <c r="C22" s="3" t="s">
        <v>856</v>
      </c>
      <c r="D22" s="4" t="s">
        <v>486</v>
      </c>
      <c r="E22" s="4" t="s">
        <v>291</v>
      </c>
      <c r="F22" s="4" t="s">
        <v>817</v>
      </c>
      <c r="G22" s="4" t="s">
        <v>822</v>
      </c>
      <c r="H22" s="4" t="s">
        <v>33</v>
      </c>
    </row>
    <row r="23" spans="1:8" x14ac:dyDescent="0.25">
      <c r="A23" s="3" t="s">
        <v>289</v>
      </c>
      <c r="B23" s="4" t="s">
        <v>857</v>
      </c>
      <c r="C23" s="3" t="s">
        <v>856</v>
      </c>
      <c r="D23" s="4" t="s">
        <v>486</v>
      </c>
      <c r="E23" s="4" t="s">
        <v>291</v>
      </c>
      <c r="F23" s="4" t="s">
        <v>817</v>
      </c>
      <c r="G23" s="4" t="s">
        <v>822</v>
      </c>
      <c r="H23" s="4" t="s">
        <v>33</v>
      </c>
    </row>
    <row r="24" spans="1:8" x14ac:dyDescent="0.25">
      <c r="A24" s="3" t="s">
        <v>289</v>
      </c>
      <c r="B24" s="4" t="s">
        <v>858</v>
      </c>
      <c r="C24" s="4" t="s">
        <v>859</v>
      </c>
      <c r="D24" s="4" t="s">
        <v>482</v>
      </c>
      <c r="E24" s="4" t="s">
        <v>291</v>
      </c>
      <c r="F24" s="4" t="s">
        <v>812</v>
      </c>
      <c r="G24" s="4" t="s">
        <v>33</v>
      </c>
      <c r="H24" s="4" t="s">
        <v>813</v>
      </c>
    </row>
    <row r="25" spans="1:8" x14ac:dyDescent="0.25">
      <c r="A25" s="3" t="s">
        <v>289</v>
      </c>
      <c r="B25" s="4" t="s">
        <v>860</v>
      </c>
      <c r="C25" s="4" t="s">
        <v>861</v>
      </c>
      <c r="D25" s="4" t="s">
        <v>486</v>
      </c>
      <c r="E25" s="4" t="s">
        <v>50</v>
      </c>
      <c r="F25" s="4" t="s">
        <v>817</v>
      </c>
      <c r="G25" s="4" t="s">
        <v>862</v>
      </c>
      <c r="H25" s="4" t="s">
        <v>33</v>
      </c>
    </row>
    <row r="26" spans="1:8" x14ac:dyDescent="0.25">
      <c r="A26" s="3" t="s">
        <v>289</v>
      </c>
      <c r="B26" s="4" t="s">
        <v>863</v>
      </c>
      <c r="C26" s="4" t="s">
        <v>864</v>
      </c>
      <c r="D26" s="4" t="s">
        <v>486</v>
      </c>
      <c r="E26" s="4" t="s">
        <v>50</v>
      </c>
      <c r="F26" s="4" t="s">
        <v>817</v>
      </c>
      <c r="G26" s="4" t="s">
        <v>865</v>
      </c>
      <c r="H26" s="4" t="s">
        <v>33</v>
      </c>
    </row>
    <row r="27" spans="1:8" x14ac:dyDescent="0.25">
      <c r="A27" s="3" t="s">
        <v>289</v>
      </c>
      <c r="B27" s="4" t="s">
        <v>514</v>
      </c>
      <c r="C27" s="4" t="s">
        <v>866</v>
      </c>
      <c r="D27" s="4" t="s">
        <v>486</v>
      </c>
      <c r="E27" s="4" t="s">
        <v>291</v>
      </c>
      <c r="F27" s="4" t="s">
        <v>817</v>
      </c>
      <c r="G27" s="4" t="s">
        <v>865</v>
      </c>
      <c r="H27" s="4" t="s">
        <v>33</v>
      </c>
    </row>
    <row r="28" spans="1:8" x14ac:dyDescent="0.25">
      <c r="A28" s="3" t="s">
        <v>289</v>
      </c>
      <c r="B28" s="4" t="s">
        <v>867</v>
      </c>
      <c r="C28" s="4" t="s">
        <v>868</v>
      </c>
      <c r="D28" s="4" t="s">
        <v>486</v>
      </c>
      <c r="E28" s="4" t="s">
        <v>291</v>
      </c>
      <c r="F28" s="4" t="s">
        <v>817</v>
      </c>
      <c r="G28" s="4" t="s">
        <v>822</v>
      </c>
      <c r="H28" s="4" t="s">
        <v>33</v>
      </c>
    </row>
    <row r="29" spans="1:8" x14ac:dyDescent="0.25">
      <c r="A29" s="3" t="s">
        <v>289</v>
      </c>
      <c r="B29" s="4" t="s">
        <v>609</v>
      </c>
      <c r="C29" s="4" t="s">
        <v>869</v>
      </c>
      <c r="D29" s="4" t="s">
        <v>486</v>
      </c>
      <c r="E29" s="4" t="s">
        <v>50</v>
      </c>
      <c r="F29" s="4" t="s">
        <v>817</v>
      </c>
      <c r="G29" s="4" t="s">
        <v>870</v>
      </c>
      <c r="H29" s="4" t="s">
        <v>33</v>
      </c>
    </row>
    <row r="30" spans="1:8" x14ac:dyDescent="0.25">
      <c r="A30" s="3" t="s">
        <v>289</v>
      </c>
      <c r="B30" s="4" t="s">
        <v>723</v>
      </c>
      <c r="C30" s="3" t="s">
        <v>871</v>
      </c>
      <c r="D30" s="4" t="s">
        <v>486</v>
      </c>
      <c r="E30" s="4" t="s">
        <v>50</v>
      </c>
      <c r="F30" s="4" t="s">
        <v>817</v>
      </c>
      <c r="G30" s="4" t="s">
        <v>872</v>
      </c>
      <c r="H30" s="4" t="s">
        <v>33</v>
      </c>
    </row>
    <row r="31" spans="1:8" x14ac:dyDescent="0.25">
      <c r="A31" s="3" t="s">
        <v>289</v>
      </c>
      <c r="B31" s="4" t="s">
        <v>873</v>
      </c>
      <c r="C31" s="3" t="s">
        <v>874</v>
      </c>
      <c r="D31" s="4" t="s">
        <v>747</v>
      </c>
      <c r="E31" s="4" t="s">
        <v>50</v>
      </c>
      <c r="F31" s="4" t="s">
        <v>817</v>
      </c>
      <c r="G31" s="4" t="s">
        <v>33</v>
      </c>
      <c r="H31" s="4" t="s">
        <v>33</v>
      </c>
    </row>
    <row r="32" spans="1:8" x14ac:dyDescent="0.25">
      <c r="A32" s="3" t="s">
        <v>289</v>
      </c>
      <c r="B32" s="4" t="s">
        <v>875</v>
      </c>
      <c r="C32" s="3" t="s">
        <v>876</v>
      </c>
      <c r="D32" s="4" t="s">
        <v>482</v>
      </c>
      <c r="E32" s="4" t="s">
        <v>50</v>
      </c>
      <c r="F32" s="4" t="s">
        <v>812</v>
      </c>
      <c r="G32" s="4" t="s">
        <v>33</v>
      </c>
      <c r="H32" s="4" t="s">
        <v>813</v>
      </c>
    </row>
    <row r="33" spans="1:8" x14ac:dyDescent="0.25">
      <c r="A33" s="3" t="s">
        <v>289</v>
      </c>
      <c r="B33" s="4" t="s">
        <v>877</v>
      </c>
      <c r="C33" s="3" t="s">
        <v>822</v>
      </c>
      <c r="D33" s="4" t="s">
        <v>264</v>
      </c>
      <c r="E33" s="4" t="s">
        <v>50</v>
      </c>
      <c r="F33" s="4" t="s">
        <v>817</v>
      </c>
      <c r="G33" s="4" t="s">
        <v>822</v>
      </c>
      <c r="H33" s="4" t="s">
        <v>33</v>
      </c>
    </row>
    <row r="34" spans="1:8" x14ac:dyDescent="0.25">
      <c r="A34" s="3" t="s">
        <v>289</v>
      </c>
      <c r="B34" s="4" t="s">
        <v>878</v>
      </c>
      <c r="C34" s="4" t="s">
        <v>817</v>
      </c>
      <c r="D34" s="4" t="s">
        <v>264</v>
      </c>
      <c r="E34" s="4" t="s">
        <v>50</v>
      </c>
      <c r="F34" s="4" t="s">
        <v>817</v>
      </c>
      <c r="G34" s="4" t="s">
        <v>33</v>
      </c>
      <c r="H34" s="4" t="s">
        <v>33</v>
      </c>
    </row>
    <row r="35" spans="1:8" x14ac:dyDescent="0.25">
      <c r="A35" s="3" t="s">
        <v>289</v>
      </c>
      <c r="B35" s="4" t="s">
        <v>879</v>
      </c>
      <c r="C35" s="3" t="s">
        <v>880</v>
      </c>
      <c r="D35" s="4" t="s">
        <v>264</v>
      </c>
      <c r="E35" s="4" t="s">
        <v>50</v>
      </c>
      <c r="F35" s="4" t="s">
        <v>817</v>
      </c>
      <c r="G35" s="4" t="s">
        <v>33</v>
      </c>
      <c r="H35" s="4" t="s">
        <v>33</v>
      </c>
    </row>
    <row r="37" spans="1:1" x14ac:dyDescent="0.25">
      <c r="A37" s="4" t="s">
        <v>881</v>
      </c>
    </row>
  </sheetData>
  <hyperlinks>
    <hyperlink ref="G6" r:id="rId1"/>
    <hyperlink ref="G19" r:id="rId2"/>
    <hyperlink ref="G20" r:id="rId3"/>
    <hyperlink ref="G22" r:id="rId4"/>
    <hyperlink ref="G23" r:id="rId5"/>
    <hyperlink ref="G25" r:id="rId6"/>
    <hyperlink ref="G26" r:id="rId7"/>
    <hyperlink ref="G27" r:id="rId8"/>
    <hyperlink ref="G28" r:id="rId9"/>
    <hyperlink ref="G29" r:id="rId10"/>
    <hyperlink ref="G30" r:id="rId11"/>
    <hyperlink ref="G33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28" customWidth="1"/>
    <col min="4" max="4" width="40" customWidth="1"/>
    <col min="5" max="7" width="16" customWidth="1"/>
    <col min="8" max="8" width="10" customWidth="1"/>
    <col min="9" max="9" width="40" customWidth="1"/>
  </cols>
  <sheetData>
    <row r="1" spans="1:9" x14ac:dyDescent="0.25">
      <c r="A1" s="6" t="s">
        <v>807</v>
      </c>
      <c r="B1" s="6" t="s">
        <v>882</v>
      </c>
      <c r="C1" s="6" t="s">
        <v>57</v>
      </c>
      <c r="D1" s="6" t="s">
        <v>883</v>
      </c>
      <c r="E1" s="6" t="s">
        <v>884</v>
      </c>
      <c r="F1" s="6" t="s">
        <v>885</v>
      </c>
      <c r="G1" s="6" t="s">
        <v>886</v>
      </c>
      <c r="H1" s="6" t="s">
        <v>94</v>
      </c>
      <c r="I1" s="6" t="s">
        <v>887</v>
      </c>
    </row>
    <row r="2" spans="1:1" x14ac:dyDescent="0.25">
      <c r="A2" s="4" t="s">
        <v>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1" width="44" customWidth="1"/>
    <col min="2" max="2" width="90" customWidth="1"/>
    <col min="3" max="3" width="18" customWidth="1"/>
    <col min="4" max="4" width="16" customWidth="1"/>
  </cols>
  <sheetData>
    <row r="1" spans="1:1" x14ac:dyDescent="0.25">
      <c r="A1" s="1" t="s">
        <v>889</v>
      </c>
    </row>
    <row r="3" spans="1:1" x14ac:dyDescent="0.25">
      <c r="A3" s="5" t="s">
        <v>890</v>
      </c>
    </row>
    <row r="4" spans="1:2" x14ac:dyDescent="0.25">
      <c r="A4" s="4" t="s">
        <v>5</v>
      </c>
      <c r="B4" s="4" t="s">
        <v>6</v>
      </c>
    </row>
    <row r="5" spans="1:2" x14ac:dyDescent="0.25">
      <c r="A5" s="4" t="s">
        <v>7</v>
      </c>
      <c r="B5" s="4" t="s">
        <v>8</v>
      </c>
    </row>
    <row r="6" spans="1:2" x14ac:dyDescent="0.25">
      <c r="A6" s="4" t="s">
        <v>9</v>
      </c>
      <c r="B6" s="4" t="s">
        <v>10</v>
      </c>
    </row>
    <row r="7" spans="1:2" x14ac:dyDescent="0.25">
      <c r="A7" s="3" t="s">
        <v>891</v>
      </c>
      <c r="B7" s="4" t="s">
        <v>12</v>
      </c>
    </row>
    <row r="8" spans="1:2" x14ac:dyDescent="0.25">
      <c r="A8" s="4" t="s">
        <v>892</v>
      </c>
      <c r="B8" s="4" t="s">
        <v>893</v>
      </c>
    </row>
    <row r="9" spans="1:2" x14ac:dyDescent="0.25">
      <c r="A9" s="4" t="s">
        <v>894</v>
      </c>
      <c r="B9" s="4" t="s">
        <v>895</v>
      </c>
    </row>
    <row r="10" spans="1:2" x14ac:dyDescent="0.25">
      <c r="A10" s="4" t="s">
        <v>896</v>
      </c>
      <c r="B10" s="4" t="s">
        <v>897</v>
      </c>
    </row>
    <row r="11" spans="1:2" x14ac:dyDescent="0.25">
      <c r="A11" s="4" t="s">
        <v>898</v>
      </c>
      <c r="B11" s="3" t="s">
        <v>899</v>
      </c>
    </row>
    <row r="13" spans="1:1" x14ac:dyDescent="0.25">
      <c r="A13" s="5" t="s">
        <v>900</v>
      </c>
    </row>
    <row r="14" spans="1:2" x14ac:dyDescent="0.25">
      <c r="A14" s="4" t="s">
        <v>104</v>
      </c>
      <c r="B14" s="3" t="s">
        <v>901</v>
      </c>
    </row>
    <row r="15" spans="1:2" x14ac:dyDescent="0.25">
      <c r="A15" s="4" t="s">
        <v>104</v>
      </c>
      <c r="B15" s="3" t="s">
        <v>902</v>
      </c>
    </row>
    <row r="16" spans="1:2" x14ac:dyDescent="0.25">
      <c r="A16" s="4" t="s">
        <v>104</v>
      </c>
      <c r="B16" s="3" t="s">
        <v>903</v>
      </c>
    </row>
    <row r="17" spans="1:2" x14ac:dyDescent="0.25">
      <c r="A17" s="4" t="s">
        <v>104</v>
      </c>
      <c r="B17" s="3" t="s">
        <v>904</v>
      </c>
    </row>
    <row r="19" spans="1:1" x14ac:dyDescent="0.25">
      <c r="A19" s="5" t="s">
        <v>905</v>
      </c>
    </row>
    <row r="20" spans="1:4" x14ac:dyDescent="0.25">
      <c r="A20" s="6" t="s">
        <v>22</v>
      </c>
      <c r="B20" s="6" t="s">
        <v>475</v>
      </c>
      <c r="C20" s="6" t="s">
        <v>906</v>
      </c>
      <c r="D20" s="6" t="s">
        <v>907</v>
      </c>
    </row>
    <row r="21" spans="1:4" x14ac:dyDescent="0.25">
      <c r="A21" s="4" t="s">
        <v>908</v>
      </c>
      <c r="B21" s="3" t="s">
        <v>909</v>
      </c>
      <c r="C21" s="4" t="s">
        <v>910</v>
      </c>
      <c r="D21" s="4" t="s">
        <v>911</v>
      </c>
    </row>
    <row r="22" spans="1:4" x14ac:dyDescent="0.25">
      <c r="A22" s="4" t="s">
        <v>912</v>
      </c>
      <c r="B22" s="3" t="s">
        <v>913</v>
      </c>
      <c r="C22" s="4" t="s">
        <v>914</v>
      </c>
      <c r="D22" s="4" t="s">
        <v>915</v>
      </c>
    </row>
    <row r="23" spans="1:4" x14ac:dyDescent="0.25">
      <c r="A23" s="4" t="s">
        <v>916</v>
      </c>
      <c r="B23" s="3" t="s">
        <v>917</v>
      </c>
      <c r="C23" s="4" t="s">
        <v>918</v>
      </c>
      <c r="D23" s="4" t="s">
        <v>911</v>
      </c>
    </row>
    <row r="24" spans="1:4" x14ac:dyDescent="0.25">
      <c r="A24" s="4" t="s">
        <v>919</v>
      </c>
      <c r="B24" s="3" t="s">
        <v>920</v>
      </c>
      <c r="C24" s="4" t="s">
        <v>918</v>
      </c>
      <c r="D24" s="4" t="s">
        <v>915</v>
      </c>
    </row>
    <row r="25" spans="1:4" x14ac:dyDescent="0.25">
      <c r="A25" s="3" t="s">
        <v>921</v>
      </c>
      <c r="B25" s="3" t="s">
        <v>922</v>
      </c>
      <c r="C25" s="4" t="s">
        <v>923</v>
      </c>
      <c r="D25" s="4" t="s">
        <v>915</v>
      </c>
    </row>
    <row r="26" spans="1:4" x14ac:dyDescent="0.25">
      <c r="A26" s="4" t="s">
        <v>924</v>
      </c>
      <c r="B26" s="3" t="s">
        <v>925</v>
      </c>
      <c r="C26" s="4" t="s">
        <v>918</v>
      </c>
      <c r="D26" s="4" t="s">
        <v>915</v>
      </c>
    </row>
    <row r="27" spans="1:4" x14ac:dyDescent="0.25">
      <c r="A27" s="4" t="s">
        <v>926</v>
      </c>
      <c r="B27" s="3" t="s">
        <v>927</v>
      </c>
      <c r="C27" s="4" t="s">
        <v>113</v>
      </c>
      <c r="D27" s="4" t="s">
        <v>928</v>
      </c>
    </row>
    <row r="28" spans="1:4" x14ac:dyDescent="0.25">
      <c r="A28" s="3" t="s">
        <v>929</v>
      </c>
      <c r="B28" s="3" t="s">
        <v>930</v>
      </c>
      <c r="C28" s="4" t="s">
        <v>595</v>
      </c>
      <c r="D28" s="4" t="s">
        <v>915</v>
      </c>
    </row>
    <row r="29" spans="1:4" x14ac:dyDescent="0.25">
      <c r="A29" s="4" t="s">
        <v>931</v>
      </c>
      <c r="B29" s="3" t="s">
        <v>932</v>
      </c>
      <c r="C29" s="4" t="s">
        <v>113</v>
      </c>
      <c r="D29" s="4" t="s">
        <v>915</v>
      </c>
    </row>
    <row r="30" spans="1:4" x14ac:dyDescent="0.25">
      <c r="A30" s="4" t="s">
        <v>933</v>
      </c>
      <c r="B30" s="3" t="s">
        <v>934</v>
      </c>
      <c r="C30" s="4" t="s">
        <v>603</v>
      </c>
      <c r="D30" s="4" t="s">
        <v>911</v>
      </c>
    </row>
    <row r="31" spans="1:4" x14ac:dyDescent="0.25">
      <c r="A31" s="4" t="s">
        <v>935</v>
      </c>
      <c r="B31" s="3" t="s">
        <v>936</v>
      </c>
      <c r="C31" s="4" t="s">
        <v>603</v>
      </c>
      <c r="D31" s="4" t="s">
        <v>928</v>
      </c>
    </row>
    <row r="32" spans="1:4" x14ac:dyDescent="0.25">
      <c r="A32" s="4" t="s">
        <v>937</v>
      </c>
      <c r="B32" s="3" t="s">
        <v>938</v>
      </c>
      <c r="C32" s="4" t="s">
        <v>939</v>
      </c>
      <c r="D32" s="4" t="s">
        <v>915</v>
      </c>
    </row>
    <row r="33" spans="1:4" x14ac:dyDescent="0.25">
      <c r="A33" s="4" t="s">
        <v>539</v>
      </c>
      <c r="B33" s="3" t="s">
        <v>940</v>
      </c>
      <c r="C33" s="4" t="s">
        <v>603</v>
      </c>
      <c r="D33" s="4" t="s">
        <v>928</v>
      </c>
    </row>
    <row r="34" spans="1:4" x14ac:dyDescent="0.25">
      <c r="A34" s="4" t="s">
        <v>536</v>
      </c>
      <c r="B34" s="3" t="s">
        <v>941</v>
      </c>
      <c r="C34" s="4" t="s">
        <v>603</v>
      </c>
      <c r="D34" s="4" t="s">
        <v>915</v>
      </c>
    </row>
    <row r="35" spans="1:4" x14ac:dyDescent="0.25">
      <c r="A35" s="4" t="s">
        <v>479</v>
      </c>
      <c r="B35" s="3" t="s">
        <v>480</v>
      </c>
      <c r="C35" s="4" t="s">
        <v>599</v>
      </c>
      <c r="D35" s="4" t="s">
        <v>928</v>
      </c>
    </row>
    <row r="36" spans="1:4" x14ac:dyDescent="0.25">
      <c r="A36" s="4" t="s">
        <v>483</v>
      </c>
      <c r="B36" s="3" t="s">
        <v>484</v>
      </c>
      <c r="C36" s="4" t="s">
        <v>599</v>
      </c>
      <c r="D36" s="4" t="s">
        <v>928</v>
      </c>
    </row>
    <row r="37" spans="1:4" x14ac:dyDescent="0.25">
      <c r="A37" s="3" t="s">
        <v>487</v>
      </c>
      <c r="B37" s="3" t="s">
        <v>488</v>
      </c>
      <c r="C37" s="4" t="s">
        <v>599</v>
      </c>
      <c r="D37" s="4" t="s">
        <v>928</v>
      </c>
    </row>
    <row r="38" spans="1:4" x14ac:dyDescent="0.25">
      <c r="A38" s="4" t="s">
        <v>490</v>
      </c>
      <c r="B38" s="3" t="s">
        <v>491</v>
      </c>
      <c r="C38" s="4" t="s">
        <v>599</v>
      </c>
      <c r="D38" s="4" t="s">
        <v>928</v>
      </c>
    </row>
    <row r="39" spans="1:4" x14ac:dyDescent="0.25">
      <c r="A39" s="4" t="s">
        <v>493</v>
      </c>
      <c r="B39" s="3" t="s">
        <v>494</v>
      </c>
      <c r="C39" s="4" t="s">
        <v>599</v>
      </c>
      <c r="D39" s="4" t="s">
        <v>928</v>
      </c>
    </row>
    <row r="40" spans="1:4" x14ac:dyDescent="0.25">
      <c r="A40" s="4" t="s">
        <v>496</v>
      </c>
      <c r="B40" s="3" t="s">
        <v>497</v>
      </c>
      <c r="C40" s="4" t="s">
        <v>599</v>
      </c>
      <c r="D40" s="4" t="s">
        <v>928</v>
      </c>
    </row>
    <row r="41" spans="1:4" x14ac:dyDescent="0.25">
      <c r="A41" s="4" t="s">
        <v>500</v>
      </c>
      <c r="B41" s="3" t="s">
        <v>501</v>
      </c>
      <c r="C41" s="4" t="s">
        <v>599</v>
      </c>
      <c r="D41" s="4" t="s">
        <v>928</v>
      </c>
    </row>
    <row r="42" spans="1:4" x14ac:dyDescent="0.25">
      <c r="A42" s="4" t="s">
        <v>942</v>
      </c>
      <c r="B42" s="3" t="s">
        <v>504</v>
      </c>
      <c r="C42" s="4" t="s">
        <v>599</v>
      </c>
      <c r="D42" s="4" t="s">
        <v>911</v>
      </c>
    </row>
    <row r="43" spans="1:4" x14ac:dyDescent="0.25">
      <c r="A43" s="4" t="s">
        <v>29</v>
      </c>
      <c r="B43" s="3" t="s">
        <v>943</v>
      </c>
      <c r="C43" s="4" t="s">
        <v>599</v>
      </c>
      <c r="D43" s="4" t="s">
        <v>928</v>
      </c>
    </row>
    <row r="44" spans="1:4" x14ac:dyDescent="0.25">
      <c r="A44" s="4" t="s">
        <v>543</v>
      </c>
      <c r="B44" s="3" t="s">
        <v>544</v>
      </c>
      <c r="C44" s="4" t="s">
        <v>603</v>
      </c>
      <c r="D44" s="4" t="s">
        <v>928</v>
      </c>
    </row>
    <row r="45" spans="1:4" x14ac:dyDescent="0.25">
      <c r="A45" s="4" t="s">
        <v>514</v>
      </c>
      <c r="B45" s="3" t="s">
        <v>515</v>
      </c>
      <c r="C45" s="4" t="s">
        <v>603</v>
      </c>
      <c r="D45" s="4" t="s">
        <v>928</v>
      </c>
    </row>
    <row r="46" spans="1:4" x14ac:dyDescent="0.25">
      <c r="A46" s="4" t="s">
        <v>517</v>
      </c>
      <c r="B46" s="3" t="s">
        <v>518</v>
      </c>
      <c r="C46" s="4" t="s">
        <v>603</v>
      </c>
      <c r="D46" s="4" t="s">
        <v>928</v>
      </c>
    </row>
    <row r="47" spans="1:4" x14ac:dyDescent="0.25">
      <c r="A47" s="4" t="s">
        <v>521</v>
      </c>
      <c r="B47" s="3" t="s">
        <v>522</v>
      </c>
      <c r="C47" s="4" t="s">
        <v>603</v>
      </c>
      <c r="D47" s="4" t="s">
        <v>928</v>
      </c>
    </row>
    <row r="48" spans="1:4" x14ac:dyDescent="0.25">
      <c r="A48" s="4" t="s">
        <v>524</v>
      </c>
      <c r="B48" s="3" t="s">
        <v>525</v>
      </c>
      <c r="C48" s="4" t="s">
        <v>603</v>
      </c>
      <c r="D48" s="4" t="s">
        <v>928</v>
      </c>
    </row>
    <row r="49" spans="1:4" x14ac:dyDescent="0.25">
      <c r="A49" s="4" t="s">
        <v>527</v>
      </c>
      <c r="B49" s="3" t="s">
        <v>528</v>
      </c>
      <c r="C49" s="4" t="s">
        <v>603</v>
      </c>
      <c r="D49" s="4" t="s">
        <v>911</v>
      </c>
    </row>
    <row r="50" spans="1:4" x14ac:dyDescent="0.25">
      <c r="A50" s="4" t="s">
        <v>530</v>
      </c>
      <c r="B50" s="3" t="s">
        <v>531</v>
      </c>
      <c r="C50" s="4" t="s">
        <v>603</v>
      </c>
      <c r="D50" s="4" t="s">
        <v>928</v>
      </c>
    </row>
    <row r="51" spans="1:4" x14ac:dyDescent="0.25">
      <c r="A51" s="4" t="s">
        <v>533</v>
      </c>
      <c r="B51" s="3" t="s">
        <v>534</v>
      </c>
      <c r="C51" s="4" t="s">
        <v>603</v>
      </c>
      <c r="D51" s="4" t="s">
        <v>911</v>
      </c>
    </row>
    <row r="52" spans="1:4" x14ac:dyDescent="0.25">
      <c r="A52" s="4" t="s">
        <v>536</v>
      </c>
      <c r="B52" s="3" t="s">
        <v>537</v>
      </c>
      <c r="C52" s="4" t="s">
        <v>603</v>
      </c>
      <c r="D52" s="4" t="s">
        <v>928</v>
      </c>
    </row>
    <row r="53" spans="1:4" x14ac:dyDescent="0.25">
      <c r="A53" s="4" t="s">
        <v>539</v>
      </c>
      <c r="B53" s="3" t="s">
        <v>944</v>
      </c>
      <c r="C53" s="4" t="s">
        <v>603</v>
      </c>
      <c r="D53" s="4" t="s">
        <v>928</v>
      </c>
    </row>
    <row r="54" spans="1:4" x14ac:dyDescent="0.25">
      <c r="A54" s="3" t="s">
        <v>945</v>
      </c>
      <c r="B54" s="3" t="s">
        <v>946</v>
      </c>
      <c r="C54" s="4" t="s">
        <v>603</v>
      </c>
      <c r="D54" s="4" t="s">
        <v>915</v>
      </c>
    </row>
    <row r="55" spans="1:4" x14ac:dyDescent="0.25">
      <c r="A55" s="4" t="s">
        <v>510</v>
      </c>
      <c r="B55" s="3" t="s">
        <v>511</v>
      </c>
      <c r="C55" s="4" t="s">
        <v>603</v>
      </c>
      <c r="D55" s="4" t="s">
        <v>928</v>
      </c>
    </row>
    <row r="56" spans="1:4" x14ac:dyDescent="0.25">
      <c r="A56" s="4" t="s">
        <v>947</v>
      </c>
      <c r="B56" s="3" t="s">
        <v>948</v>
      </c>
      <c r="C56" s="4" t="s">
        <v>603</v>
      </c>
      <c r="D56" s="4" t="s">
        <v>928</v>
      </c>
    </row>
    <row r="57" spans="1:4" x14ac:dyDescent="0.25">
      <c r="A57" s="4" t="s">
        <v>949</v>
      </c>
      <c r="B57" s="3" t="s">
        <v>950</v>
      </c>
      <c r="C57" s="4" t="s">
        <v>603</v>
      </c>
      <c r="D57" s="4" t="s">
        <v>928</v>
      </c>
    </row>
    <row r="58" spans="1:4" x14ac:dyDescent="0.25">
      <c r="A58" s="4" t="s">
        <v>951</v>
      </c>
      <c r="B58" s="3" t="s">
        <v>952</v>
      </c>
      <c r="C58" s="4" t="s">
        <v>250</v>
      </c>
      <c r="D58" s="4" t="s">
        <v>928</v>
      </c>
    </row>
    <row r="59" spans="1:4" x14ac:dyDescent="0.25">
      <c r="A59" s="4" t="s">
        <v>40</v>
      </c>
      <c r="B59" s="3" t="s">
        <v>953</v>
      </c>
      <c r="C59" s="4" t="s">
        <v>161</v>
      </c>
      <c r="D59" s="4" t="s">
        <v>928</v>
      </c>
    </row>
    <row r="60" spans="1:4" x14ac:dyDescent="0.25">
      <c r="A60" s="4" t="s">
        <v>41</v>
      </c>
      <c r="B60" s="3" t="s">
        <v>954</v>
      </c>
      <c r="C60" s="4" t="s">
        <v>161</v>
      </c>
      <c r="D60" s="4" t="s">
        <v>915</v>
      </c>
    </row>
    <row r="61" spans="1:4" x14ac:dyDescent="0.25">
      <c r="A61" s="4" t="s">
        <v>955</v>
      </c>
      <c r="B61" s="3" t="s">
        <v>956</v>
      </c>
      <c r="C61" s="4" t="s">
        <v>599</v>
      </c>
      <c r="D61" s="4" t="s">
        <v>915</v>
      </c>
    </row>
    <row r="62" spans="1:4" x14ac:dyDescent="0.25">
      <c r="A62" s="4" t="s">
        <v>957</v>
      </c>
      <c r="B62" s="3" t="s">
        <v>958</v>
      </c>
      <c r="C62" s="4" t="s">
        <v>250</v>
      </c>
      <c r="D62" s="4" t="s">
        <v>915</v>
      </c>
    </row>
    <row r="63" spans="1:4" x14ac:dyDescent="0.25">
      <c r="A63" s="4" t="s">
        <v>959</v>
      </c>
      <c r="B63" s="3" t="s">
        <v>960</v>
      </c>
      <c r="C63" s="4" t="s">
        <v>599</v>
      </c>
      <c r="D63" s="4" t="s">
        <v>928</v>
      </c>
    </row>
    <row r="64" spans="1:4" x14ac:dyDescent="0.25">
      <c r="A64" s="4" t="s">
        <v>961</v>
      </c>
      <c r="B64" s="3" t="s">
        <v>962</v>
      </c>
      <c r="C64" s="4" t="s">
        <v>599</v>
      </c>
      <c r="D64" s="4" t="s">
        <v>915</v>
      </c>
    </row>
    <row r="65" spans="1:4" x14ac:dyDescent="0.25">
      <c r="A65" s="4" t="s">
        <v>963</v>
      </c>
      <c r="B65" s="3" t="s">
        <v>964</v>
      </c>
      <c r="C65" s="4" t="s">
        <v>599</v>
      </c>
      <c r="D65" s="4" t="s">
        <v>911</v>
      </c>
    </row>
    <row r="66" spans="1:4" x14ac:dyDescent="0.25">
      <c r="A66" s="4" t="s">
        <v>965</v>
      </c>
      <c r="B66" s="3" t="s">
        <v>966</v>
      </c>
      <c r="C66" s="4" t="s">
        <v>599</v>
      </c>
      <c r="D66" s="4" t="s">
        <v>915</v>
      </c>
    </row>
    <row r="67" spans="1:4" x14ac:dyDescent="0.25">
      <c r="A67" s="4" t="s">
        <v>967</v>
      </c>
      <c r="B67" s="3" t="s">
        <v>968</v>
      </c>
      <c r="C67" s="4" t="s">
        <v>593</v>
      </c>
      <c r="D67" s="4" t="s">
        <v>915</v>
      </c>
    </row>
    <row r="69" spans="1:1" x14ac:dyDescent="0.25">
      <c r="A69" s="5" t="s">
        <v>969</v>
      </c>
    </row>
    <row r="70" spans="1:2" x14ac:dyDescent="0.25">
      <c r="A70" s="4" t="s">
        <v>104</v>
      </c>
      <c r="B70" s="3" t="s">
        <v>970</v>
      </c>
    </row>
    <row r="71" spans="1:2" x14ac:dyDescent="0.25">
      <c r="A71" s="4" t="s">
        <v>104</v>
      </c>
      <c r="B71" s="3" t="s">
        <v>971</v>
      </c>
    </row>
    <row r="72" spans="1:2" x14ac:dyDescent="0.25">
      <c r="A72" s="4" t="s">
        <v>104</v>
      </c>
      <c r="B72" s="3" t="s">
        <v>972</v>
      </c>
    </row>
    <row r="73" spans="1:2" x14ac:dyDescent="0.25">
      <c r="A73" s="4" t="s">
        <v>104</v>
      </c>
      <c r="B73" s="3" t="s">
        <v>973</v>
      </c>
    </row>
    <row r="74" spans="1:2" x14ac:dyDescent="0.25">
      <c r="A74" s="4" t="s">
        <v>104</v>
      </c>
      <c r="B74" s="3" t="s">
        <v>974</v>
      </c>
    </row>
    <row r="75" spans="1:2" x14ac:dyDescent="0.25">
      <c r="A75" s="4" t="s">
        <v>104</v>
      </c>
      <c r="B75" s="3" t="s">
        <v>975</v>
      </c>
    </row>
    <row r="76" spans="1:2" x14ac:dyDescent="0.25">
      <c r="A76" s="4" t="s">
        <v>104</v>
      </c>
      <c r="B76" s="3" t="s">
        <v>976</v>
      </c>
    </row>
    <row r="77" spans="1:2" x14ac:dyDescent="0.25">
      <c r="A77" s="4" t="s">
        <v>104</v>
      </c>
      <c r="B77" s="3" t="s">
        <v>977</v>
      </c>
    </row>
    <row r="78" spans="1:2" x14ac:dyDescent="0.25">
      <c r="A78" s="4" t="s">
        <v>104</v>
      </c>
      <c r="B78" s="3" t="s">
        <v>978</v>
      </c>
    </row>
    <row r="79" spans="1:2" x14ac:dyDescent="0.25">
      <c r="A79" s="4" t="s">
        <v>104</v>
      </c>
      <c r="B79" s="3" t="s">
        <v>979</v>
      </c>
    </row>
    <row r="81" spans="1:1" x14ac:dyDescent="0.25">
      <c r="A81" s="1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5" customWidth="1"/>
    <col min="3" max="3" width="22" customWidth="1"/>
    <col min="4" max="4" width="70" customWidth="1"/>
    <col min="5" max="5" width="95" customWidth="1"/>
  </cols>
  <sheetData>
    <row r="1" spans="1:5" x14ac:dyDescent="0.25">
      <c r="A1" s="6" t="s">
        <v>57</v>
      </c>
      <c r="B1" s="6" t="s">
        <v>980</v>
      </c>
      <c r="C1" s="6" t="s">
        <v>474</v>
      </c>
      <c r="D1" s="6" t="s">
        <v>93</v>
      </c>
      <c r="E1" s="6" t="s">
        <v>981</v>
      </c>
    </row>
    <row r="2" spans="1:5" x14ac:dyDescent="0.25">
      <c r="A2" s="4" t="s">
        <v>24</v>
      </c>
      <c r="B2" s="4" t="s">
        <v>982</v>
      </c>
      <c r="C2" s="13" t="s">
        <v>104</v>
      </c>
      <c r="D2" s="3" t="s">
        <v>983</v>
      </c>
      <c r="E2" s="4" t="s">
        <v>984</v>
      </c>
    </row>
    <row r="3" spans="1:5" x14ac:dyDescent="0.25">
      <c r="A3" s="4" t="s">
        <v>24</v>
      </c>
      <c r="B3" s="4" t="s">
        <v>985</v>
      </c>
      <c r="C3" s="13" t="s">
        <v>104</v>
      </c>
      <c r="D3" s="3" t="s">
        <v>986</v>
      </c>
      <c r="E3" s="4" t="s">
        <v>984</v>
      </c>
    </row>
    <row r="4" spans="1:5" x14ac:dyDescent="0.25">
      <c r="A4" s="4" t="s">
        <v>24</v>
      </c>
      <c r="B4" s="4" t="s">
        <v>987</v>
      </c>
      <c r="C4" s="13">
        <v>5400000</v>
      </c>
      <c r="D4" s="4" t="s">
        <v>988</v>
      </c>
      <c r="E4" s="3" t="s">
        <v>989</v>
      </c>
    </row>
    <row r="5" spans="1:5" x14ac:dyDescent="0.25">
      <c r="A5" s="4" t="s">
        <v>24</v>
      </c>
      <c r="B5" s="4" t="s">
        <v>990</v>
      </c>
      <c r="C5" s="13">
        <v>300000</v>
      </c>
      <c r="D5" s="4" t="s">
        <v>991</v>
      </c>
      <c r="E5" s="3" t="s">
        <v>992</v>
      </c>
    </row>
    <row r="6" spans="1:5" x14ac:dyDescent="0.25">
      <c r="A6" s="4" t="s">
        <v>24</v>
      </c>
      <c r="B6" s="4" t="s">
        <v>993</v>
      </c>
      <c r="C6" s="13">
        <v>60000</v>
      </c>
      <c r="D6" s="4" t="s">
        <v>994</v>
      </c>
      <c r="E6" s="3" t="s">
        <v>995</v>
      </c>
    </row>
    <row r="7" spans="1:5" x14ac:dyDescent="0.25">
      <c r="A7" s="4" t="s">
        <v>24</v>
      </c>
      <c r="B7" s="4" t="s">
        <v>996</v>
      </c>
      <c r="C7" s="13">
        <v>80000</v>
      </c>
      <c r="D7" s="4" t="s">
        <v>997</v>
      </c>
      <c r="E7" s="3" t="s">
        <v>995</v>
      </c>
    </row>
    <row r="8" spans="1:5" x14ac:dyDescent="0.25">
      <c r="A8" s="4" t="s">
        <v>24</v>
      </c>
      <c r="B8" s="4" t="s">
        <v>998</v>
      </c>
      <c r="C8" s="13">
        <v>20000</v>
      </c>
      <c r="D8" s="4" t="s">
        <v>999</v>
      </c>
      <c r="E8" s="3" t="s">
        <v>995</v>
      </c>
    </row>
    <row r="9" spans="1:5" x14ac:dyDescent="0.25">
      <c r="A9" s="4" t="s">
        <v>24</v>
      </c>
      <c r="B9" s="4" t="s">
        <v>1000</v>
      </c>
      <c r="C9" s="13">
        <v>45000</v>
      </c>
      <c r="D9" s="4" t="s">
        <v>1001</v>
      </c>
      <c r="E9" s="3" t="s">
        <v>995</v>
      </c>
    </row>
    <row r="10" spans="1:5" x14ac:dyDescent="0.25">
      <c r="A10" s="4" t="s">
        <v>24</v>
      </c>
      <c r="B10" s="4" t="s">
        <v>1002</v>
      </c>
      <c r="C10" s="13">
        <v>25000</v>
      </c>
      <c r="D10" s="4" t="s">
        <v>1003</v>
      </c>
      <c r="E10" s="3" t="s">
        <v>995</v>
      </c>
    </row>
    <row r="11" spans="1:5" x14ac:dyDescent="0.25">
      <c r="A11" s="4" t="s">
        <v>24</v>
      </c>
      <c r="B11" s="4" t="s">
        <v>1004</v>
      </c>
      <c r="C11" s="13">
        <v>15000</v>
      </c>
      <c r="D11" s="4" t="s">
        <v>1005</v>
      </c>
      <c r="E11" s="3" t="s">
        <v>995</v>
      </c>
    </row>
    <row r="12" spans="1:5" x14ac:dyDescent="0.25">
      <c r="A12" s="4" t="s">
        <v>24</v>
      </c>
      <c r="B12" s="4" t="s">
        <v>1006</v>
      </c>
      <c r="C12" s="13">
        <v>5945000</v>
      </c>
      <c r="D12" s="4" t="s">
        <v>1007</v>
      </c>
      <c r="E12" s="3" t="s">
        <v>1008</v>
      </c>
    </row>
    <row r="13" spans="1:5" x14ac:dyDescent="0.25">
      <c r="A13" s="4" t="s">
        <v>24</v>
      </c>
      <c r="B13" s="4" t="s">
        <v>1009</v>
      </c>
      <c r="C13" s="13">
        <v>594500</v>
      </c>
      <c r="D13" s="4" t="s">
        <v>1010</v>
      </c>
      <c r="E13" s="4" t="s">
        <v>1011</v>
      </c>
    </row>
    <row r="14" spans="1:5" x14ac:dyDescent="0.25">
      <c r="A14" s="4" t="s">
        <v>24</v>
      </c>
      <c r="B14" s="4" t="s">
        <v>1012</v>
      </c>
      <c r="C14" s="13">
        <v>6539500</v>
      </c>
      <c r="D14" s="4" t="s">
        <v>1013</v>
      </c>
      <c r="E14" s="3" t="s">
        <v>1014</v>
      </c>
    </row>
    <row r="15" spans="1:5" x14ac:dyDescent="0.25">
      <c r="A15" s="4" t="s">
        <v>24</v>
      </c>
      <c r="B15" s="4" t="s">
        <v>1015</v>
      </c>
      <c r="C15" s="13" t="s">
        <v>104</v>
      </c>
      <c r="D15" s="3" t="s">
        <v>1016</v>
      </c>
      <c r="E15" s="4" t="s">
        <v>984</v>
      </c>
    </row>
    <row r="16" spans="1:5" x14ac:dyDescent="0.25">
      <c r="A16" s="4" t="s">
        <v>24</v>
      </c>
      <c r="B16" s="4" t="s">
        <v>1015</v>
      </c>
      <c r="C16" s="13" t="s">
        <v>104</v>
      </c>
      <c r="D16" s="4" t="s">
        <v>1017</v>
      </c>
      <c r="E16" s="4" t="s">
        <v>984</v>
      </c>
    </row>
    <row r="17" spans="1:5" x14ac:dyDescent="0.25">
      <c r="A17" s="4" t="s">
        <v>24</v>
      </c>
      <c r="B17" s="4" t="s">
        <v>1015</v>
      </c>
      <c r="C17" s="13" t="s">
        <v>104</v>
      </c>
      <c r="D17" s="3" t="s">
        <v>1018</v>
      </c>
      <c r="E17" s="4" t="s">
        <v>984</v>
      </c>
    </row>
    <row r="18" spans="1:5" x14ac:dyDescent="0.25">
      <c r="A18" s="4" t="s">
        <v>24</v>
      </c>
      <c r="B18" s="4" t="s">
        <v>1015</v>
      </c>
      <c r="C18" s="13" t="s">
        <v>104</v>
      </c>
      <c r="D18" s="3" t="s">
        <v>1019</v>
      </c>
      <c r="E18" s="4" t="s">
        <v>984</v>
      </c>
    </row>
    <row r="19" spans="1:5" x14ac:dyDescent="0.25">
      <c r="A19" s="4" t="s">
        <v>24</v>
      </c>
      <c r="B19" s="4" t="s">
        <v>1020</v>
      </c>
      <c r="C19" s="13" t="s">
        <v>104</v>
      </c>
      <c r="D19" s="3" t="s">
        <v>1021</v>
      </c>
      <c r="E19" s="4" t="s">
        <v>984</v>
      </c>
    </row>
    <row r="20" spans="1:5" x14ac:dyDescent="0.25">
      <c r="A20" s="4" t="s">
        <v>24</v>
      </c>
      <c r="B20" s="4" t="s">
        <v>1020</v>
      </c>
      <c r="C20" s="13" t="s">
        <v>104</v>
      </c>
      <c r="D20" s="3" t="s">
        <v>1022</v>
      </c>
      <c r="E20" s="4" t="s">
        <v>984</v>
      </c>
    </row>
    <row r="21" spans="1:5" x14ac:dyDescent="0.25">
      <c r="A21" s="4" t="s">
        <v>24</v>
      </c>
      <c r="B21" s="4" t="s">
        <v>1020</v>
      </c>
      <c r="C21" s="13" t="s">
        <v>104</v>
      </c>
      <c r="D21" s="3" t="s">
        <v>1023</v>
      </c>
      <c r="E21" s="4" t="s">
        <v>984</v>
      </c>
    </row>
    <row r="22" spans="1:5" x14ac:dyDescent="0.25">
      <c r="A22" s="4" t="s">
        <v>24</v>
      </c>
      <c r="B22" s="4" t="s">
        <v>1020</v>
      </c>
      <c r="C22" s="13" t="s">
        <v>104</v>
      </c>
      <c r="D22" s="3" t="s">
        <v>1024</v>
      </c>
      <c r="E22" s="4" t="s">
        <v>984</v>
      </c>
    </row>
    <row r="23" spans="1:5" x14ac:dyDescent="0.25">
      <c r="A23" s="4" t="s">
        <v>24</v>
      </c>
      <c r="B23" s="4" t="s">
        <v>1020</v>
      </c>
      <c r="C23" s="13" t="s">
        <v>104</v>
      </c>
      <c r="D23" s="3" t="s">
        <v>1025</v>
      </c>
      <c r="E23" s="4" t="s">
        <v>984</v>
      </c>
    </row>
    <row r="24" spans="1:5" x14ac:dyDescent="0.25">
      <c r="A24" s="4" t="s">
        <v>24</v>
      </c>
      <c r="B24" s="4" t="s">
        <v>1020</v>
      </c>
      <c r="C24" s="13" t="s">
        <v>104</v>
      </c>
      <c r="D24" s="3" t="s">
        <v>1026</v>
      </c>
      <c r="E24" s="4" t="s">
        <v>984</v>
      </c>
    </row>
    <row r="25" spans="1:5" x14ac:dyDescent="0.25">
      <c r="A25" s="4" t="s">
        <v>24</v>
      </c>
      <c r="B25" s="4" t="s">
        <v>1020</v>
      </c>
      <c r="C25" s="13" t="s">
        <v>104</v>
      </c>
      <c r="D25" s="3" t="s">
        <v>1027</v>
      </c>
      <c r="E25" s="4" t="s">
        <v>984</v>
      </c>
    </row>
    <row r="26" spans="1:5" x14ac:dyDescent="0.25">
      <c r="A26" s="4" t="s">
        <v>24</v>
      </c>
      <c r="B26" s="4" t="s">
        <v>1028</v>
      </c>
      <c r="C26" s="13">
        <v>0</v>
      </c>
      <c r="D26" s="4" t="s">
        <v>1029</v>
      </c>
      <c r="E26" s="3" t="s">
        <v>1030</v>
      </c>
    </row>
    <row r="27" spans="1:5" x14ac:dyDescent="0.25">
      <c r="A27" s="4" t="s">
        <v>24</v>
      </c>
      <c r="B27" s="4" t="s">
        <v>1031</v>
      </c>
      <c r="C27" s="13" t="s">
        <v>104</v>
      </c>
      <c r="D27" s="3" t="s">
        <v>1032</v>
      </c>
      <c r="E27" s="4" t="s">
        <v>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Сводка</vt:lpstr>
      <vt:lpstr>Параметры объекта</vt:lpstr>
      <vt:lpstr>Подбор</vt:lpstr>
      <vt:lpstr>Состав оборудования</vt:lpstr>
      <vt:lpstr>CAPEX</vt:lpstr>
      <vt:lpstr>OPEX</vt:lpstr>
      <vt:lpstr>Денежный поток</vt:lpstr>
      <vt:lpstr>Чувствительность</vt:lpstr>
      <vt:lpstr>Имитация</vt:lpstr>
      <vt:lpstr>Нормативы и допущения</vt:lpstr>
      <vt:lpstr>Источники</vt:lpstr>
      <vt:lpstr>Журнал корректировок</vt:lpstr>
      <vt:lpstr>О расчёте</vt:lpstr>
      <vt:lpstr>Пилоты и бюджет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Платформа оценки роботизации</dc:creator>
  <dc:title>Предварительная оценка роботизации — Сдаточный пример — склад 10000 м², парк с резервом N14</dc:title>
  <dc:subject/>
  <dc:description/>
  <cp:keywords/>
  <cp:category/>
  <cp:lastModifiedBy>Unknown</cp:lastModifiedBy>
  <dcterms:created xsi:type="dcterms:W3CDTF">2026-10-17T19:00:10Z</dcterms:created>
  <dcterms:modified xsi:type="dcterms:W3CDTF">2026-10-17T19:00:10Z</dcterms:modified>
</cp:coreProperties>
</file>